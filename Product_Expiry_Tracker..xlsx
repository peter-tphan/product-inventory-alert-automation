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oth\Downloads\"/>
    </mc:Choice>
  </mc:AlternateContent>
  <xr:revisionPtr revIDLastSave="0" documentId="13_ncr:1_{1CCEB616-1EDA-49F2-B6CB-7BE2BBBCAE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Product_Tracker" sheetId="2" r:id="rId2"/>
    <sheet name="Alert_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4" i="2" l="1"/>
  <c r="Q104" i="2"/>
  <c r="O104" i="2"/>
  <c r="N104" i="2"/>
  <c r="M104" i="2"/>
  <c r="L104" i="2"/>
  <c r="K104" i="2"/>
  <c r="J104" i="2"/>
  <c r="I104" i="2"/>
  <c r="H104" i="2"/>
  <c r="R103" i="2"/>
  <c r="Q103" i="2"/>
  <c r="O103" i="2"/>
  <c r="N103" i="2"/>
  <c r="M103" i="2"/>
  <c r="L103" i="2"/>
  <c r="K103" i="2"/>
  <c r="J103" i="2"/>
  <c r="I103" i="2"/>
  <c r="H103" i="2"/>
  <c r="R102" i="2"/>
  <c r="Q102" i="2"/>
  <c r="O102" i="2"/>
  <c r="N102" i="2"/>
  <c r="M102" i="2"/>
  <c r="L102" i="2"/>
  <c r="K102" i="2"/>
  <c r="J102" i="2"/>
  <c r="I102" i="2"/>
  <c r="H102" i="2"/>
  <c r="R101" i="2"/>
  <c r="Q101" i="2"/>
  <c r="O101" i="2"/>
  <c r="N101" i="2"/>
  <c r="M101" i="2"/>
  <c r="L101" i="2"/>
  <c r="K101" i="2"/>
  <c r="J101" i="2"/>
  <c r="I101" i="2"/>
  <c r="H101" i="2"/>
  <c r="R100" i="2"/>
  <c r="Q100" i="2"/>
  <c r="O100" i="2"/>
  <c r="N100" i="2"/>
  <c r="M100" i="2"/>
  <c r="L100" i="2"/>
  <c r="K100" i="2"/>
  <c r="J100" i="2"/>
  <c r="I100" i="2"/>
  <c r="H100" i="2"/>
  <c r="R99" i="2"/>
  <c r="Q99" i="2"/>
  <c r="O99" i="2"/>
  <c r="N99" i="2"/>
  <c r="M99" i="2"/>
  <c r="L99" i="2"/>
  <c r="K99" i="2"/>
  <c r="J99" i="2"/>
  <c r="I99" i="2"/>
  <c r="H99" i="2"/>
  <c r="R98" i="2"/>
  <c r="Q98" i="2"/>
  <c r="O98" i="2"/>
  <c r="N98" i="2"/>
  <c r="M98" i="2"/>
  <c r="L98" i="2"/>
  <c r="K98" i="2"/>
  <c r="J98" i="2"/>
  <c r="I98" i="2"/>
  <c r="H98" i="2"/>
  <c r="R97" i="2"/>
  <c r="Q97" i="2"/>
  <c r="O97" i="2"/>
  <c r="N97" i="2"/>
  <c r="M97" i="2"/>
  <c r="L97" i="2"/>
  <c r="K97" i="2"/>
  <c r="J97" i="2"/>
  <c r="I97" i="2"/>
  <c r="H97" i="2"/>
  <c r="R96" i="2"/>
  <c r="Q96" i="2"/>
  <c r="O96" i="2"/>
  <c r="N96" i="2"/>
  <c r="M96" i="2"/>
  <c r="L96" i="2"/>
  <c r="K96" i="2"/>
  <c r="J96" i="2"/>
  <c r="I96" i="2"/>
  <c r="H96" i="2"/>
  <c r="R95" i="2"/>
  <c r="Q95" i="2"/>
  <c r="O95" i="2"/>
  <c r="N95" i="2"/>
  <c r="M95" i="2"/>
  <c r="L95" i="2"/>
  <c r="K95" i="2"/>
  <c r="J95" i="2"/>
  <c r="I95" i="2"/>
  <c r="H95" i="2"/>
  <c r="R94" i="2"/>
  <c r="Q94" i="2"/>
  <c r="O94" i="2"/>
  <c r="N94" i="2"/>
  <c r="M94" i="2"/>
  <c r="L94" i="2"/>
  <c r="K94" i="2"/>
  <c r="J94" i="2"/>
  <c r="I94" i="2"/>
  <c r="H94" i="2"/>
  <c r="R93" i="2"/>
  <c r="Q93" i="2"/>
  <c r="O93" i="2"/>
  <c r="N93" i="2"/>
  <c r="M93" i="2"/>
  <c r="L93" i="2"/>
  <c r="K93" i="2"/>
  <c r="J93" i="2"/>
  <c r="I93" i="2"/>
  <c r="H93" i="2"/>
  <c r="R92" i="2"/>
  <c r="Q92" i="2"/>
  <c r="O92" i="2"/>
  <c r="N92" i="2"/>
  <c r="M92" i="2"/>
  <c r="L92" i="2"/>
  <c r="K92" i="2"/>
  <c r="J92" i="2"/>
  <c r="I92" i="2"/>
  <c r="H92" i="2"/>
  <c r="R91" i="2"/>
  <c r="Q91" i="2"/>
  <c r="O91" i="2"/>
  <c r="N91" i="2"/>
  <c r="M91" i="2"/>
  <c r="L91" i="2"/>
  <c r="K91" i="2"/>
  <c r="J91" i="2"/>
  <c r="I91" i="2"/>
  <c r="H91" i="2"/>
  <c r="R90" i="2"/>
  <c r="Q90" i="2"/>
  <c r="O90" i="2"/>
  <c r="N90" i="2"/>
  <c r="M90" i="2"/>
  <c r="L90" i="2"/>
  <c r="K90" i="2"/>
  <c r="J90" i="2"/>
  <c r="I90" i="2"/>
  <c r="H90" i="2"/>
  <c r="R89" i="2"/>
  <c r="Q89" i="2"/>
  <c r="O89" i="2"/>
  <c r="N89" i="2"/>
  <c r="M89" i="2"/>
  <c r="L89" i="2"/>
  <c r="K89" i="2"/>
  <c r="J89" i="2"/>
  <c r="I89" i="2"/>
  <c r="H89" i="2"/>
  <c r="R88" i="2"/>
  <c r="Q88" i="2"/>
  <c r="O88" i="2"/>
  <c r="N88" i="2"/>
  <c r="M88" i="2"/>
  <c r="L88" i="2"/>
  <c r="K88" i="2"/>
  <c r="J88" i="2"/>
  <c r="I88" i="2"/>
  <c r="H88" i="2"/>
  <c r="R87" i="2"/>
  <c r="Q87" i="2"/>
  <c r="O87" i="2"/>
  <c r="N87" i="2"/>
  <c r="M87" i="2"/>
  <c r="L87" i="2"/>
  <c r="K87" i="2"/>
  <c r="J87" i="2"/>
  <c r="I87" i="2"/>
  <c r="H87" i="2"/>
  <c r="R86" i="2"/>
  <c r="Q86" i="2"/>
  <c r="O86" i="2"/>
  <c r="N86" i="2"/>
  <c r="M86" i="2"/>
  <c r="L86" i="2"/>
  <c r="K86" i="2"/>
  <c r="J86" i="2"/>
  <c r="I86" i="2"/>
  <c r="H86" i="2"/>
  <c r="R85" i="2"/>
  <c r="Q85" i="2"/>
  <c r="O85" i="2"/>
  <c r="N85" i="2"/>
  <c r="M85" i="2"/>
  <c r="L85" i="2"/>
  <c r="K85" i="2"/>
  <c r="J85" i="2"/>
  <c r="I85" i="2"/>
  <c r="H85" i="2"/>
  <c r="R84" i="2"/>
  <c r="Q84" i="2"/>
  <c r="O84" i="2"/>
  <c r="N84" i="2"/>
  <c r="M84" i="2"/>
  <c r="L84" i="2"/>
  <c r="K84" i="2"/>
  <c r="J84" i="2"/>
  <c r="I84" i="2"/>
  <c r="H84" i="2"/>
  <c r="R83" i="2"/>
  <c r="Q83" i="2"/>
  <c r="O83" i="2"/>
  <c r="N83" i="2"/>
  <c r="M83" i="2"/>
  <c r="L83" i="2"/>
  <c r="K83" i="2"/>
  <c r="J83" i="2"/>
  <c r="I83" i="2"/>
  <c r="H83" i="2"/>
  <c r="R82" i="2"/>
  <c r="Q82" i="2"/>
  <c r="O82" i="2"/>
  <c r="N82" i="2"/>
  <c r="M82" i="2"/>
  <c r="L82" i="2"/>
  <c r="K82" i="2"/>
  <c r="J82" i="2"/>
  <c r="I82" i="2"/>
  <c r="H82" i="2"/>
  <c r="R81" i="2"/>
  <c r="Q81" i="2"/>
  <c r="O81" i="2"/>
  <c r="N81" i="2"/>
  <c r="M81" i="2"/>
  <c r="L81" i="2"/>
  <c r="K81" i="2"/>
  <c r="J81" i="2"/>
  <c r="I81" i="2"/>
  <c r="H81" i="2"/>
  <c r="R80" i="2"/>
  <c r="Q80" i="2"/>
  <c r="O80" i="2"/>
  <c r="N80" i="2"/>
  <c r="M80" i="2"/>
  <c r="L80" i="2"/>
  <c r="K80" i="2"/>
  <c r="J80" i="2"/>
  <c r="I80" i="2"/>
  <c r="H80" i="2"/>
  <c r="R79" i="2"/>
  <c r="Q79" i="2"/>
  <c r="O79" i="2"/>
  <c r="N79" i="2"/>
  <c r="M79" i="2"/>
  <c r="L79" i="2"/>
  <c r="K79" i="2"/>
  <c r="J79" i="2"/>
  <c r="I79" i="2"/>
  <c r="H79" i="2"/>
  <c r="R78" i="2"/>
  <c r="Q78" i="2"/>
  <c r="O78" i="2"/>
  <c r="N78" i="2"/>
  <c r="M78" i="2"/>
  <c r="L78" i="2"/>
  <c r="K78" i="2"/>
  <c r="J78" i="2"/>
  <c r="I78" i="2"/>
  <c r="H78" i="2"/>
  <c r="R77" i="2"/>
  <c r="Q77" i="2"/>
  <c r="O77" i="2"/>
  <c r="N77" i="2"/>
  <c r="M77" i="2"/>
  <c r="L77" i="2"/>
  <c r="K77" i="2"/>
  <c r="J77" i="2"/>
  <c r="I77" i="2"/>
  <c r="H77" i="2"/>
  <c r="R76" i="2"/>
  <c r="Q76" i="2"/>
  <c r="O76" i="2"/>
  <c r="N76" i="2"/>
  <c r="M76" i="2"/>
  <c r="L76" i="2"/>
  <c r="K76" i="2"/>
  <c r="J76" i="2"/>
  <c r="I76" i="2"/>
  <c r="H76" i="2"/>
  <c r="R75" i="2"/>
  <c r="Q75" i="2"/>
  <c r="O75" i="2"/>
  <c r="N75" i="2"/>
  <c r="M75" i="2"/>
  <c r="L75" i="2"/>
  <c r="K75" i="2"/>
  <c r="J75" i="2"/>
  <c r="I75" i="2"/>
  <c r="H75" i="2"/>
  <c r="R74" i="2"/>
  <c r="Q74" i="2"/>
  <c r="O74" i="2"/>
  <c r="N74" i="2"/>
  <c r="M74" i="2"/>
  <c r="L74" i="2"/>
  <c r="K74" i="2"/>
  <c r="J74" i="2"/>
  <c r="I74" i="2"/>
  <c r="H74" i="2"/>
  <c r="R73" i="2"/>
  <c r="Q73" i="2"/>
  <c r="O73" i="2"/>
  <c r="N73" i="2"/>
  <c r="M73" i="2"/>
  <c r="L73" i="2"/>
  <c r="K73" i="2"/>
  <c r="J73" i="2"/>
  <c r="I73" i="2"/>
  <c r="H73" i="2"/>
  <c r="R72" i="2"/>
  <c r="Q72" i="2"/>
  <c r="O72" i="2"/>
  <c r="N72" i="2"/>
  <c r="M72" i="2"/>
  <c r="L72" i="2"/>
  <c r="K72" i="2"/>
  <c r="J72" i="2"/>
  <c r="I72" i="2"/>
  <c r="H72" i="2"/>
  <c r="R71" i="2"/>
  <c r="Q71" i="2"/>
  <c r="O71" i="2"/>
  <c r="N71" i="2"/>
  <c r="M71" i="2"/>
  <c r="L71" i="2"/>
  <c r="K71" i="2"/>
  <c r="J71" i="2"/>
  <c r="I71" i="2"/>
  <c r="H71" i="2"/>
  <c r="R70" i="2"/>
  <c r="Q70" i="2"/>
  <c r="O70" i="2"/>
  <c r="N70" i="2"/>
  <c r="M70" i="2"/>
  <c r="L70" i="2"/>
  <c r="K70" i="2"/>
  <c r="J70" i="2"/>
  <c r="I70" i="2"/>
  <c r="H70" i="2"/>
  <c r="R69" i="2"/>
  <c r="Q69" i="2"/>
  <c r="O69" i="2"/>
  <c r="N69" i="2"/>
  <c r="M69" i="2"/>
  <c r="L69" i="2"/>
  <c r="K69" i="2"/>
  <c r="J69" i="2"/>
  <c r="I69" i="2"/>
  <c r="H69" i="2"/>
  <c r="R68" i="2"/>
  <c r="Q68" i="2"/>
  <c r="O68" i="2"/>
  <c r="N68" i="2"/>
  <c r="M68" i="2"/>
  <c r="L68" i="2"/>
  <c r="K68" i="2"/>
  <c r="J68" i="2"/>
  <c r="I68" i="2"/>
  <c r="H68" i="2"/>
  <c r="R67" i="2"/>
  <c r="Q67" i="2"/>
  <c r="O67" i="2"/>
  <c r="N67" i="2"/>
  <c r="M67" i="2"/>
  <c r="L67" i="2"/>
  <c r="K67" i="2"/>
  <c r="J67" i="2"/>
  <c r="I67" i="2"/>
  <c r="H67" i="2"/>
  <c r="R66" i="2"/>
  <c r="Q66" i="2"/>
  <c r="O66" i="2"/>
  <c r="N66" i="2"/>
  <c r="M66" i="2"/>
  <c r="L66" i="2"/>
  <c r="K66" i="2"/>
  <c r="J66" i="2"/>
  <c r="I66" i="2"/>
  <c r="H66" i="2"/>
  <c r="R65" i="2"/>
  <c r="Q65" i="2"/>
  <c r="O65" i="2"/>
  <c r="N65" i="2"/>
  <c r="M65" i="2"/>
  <c r="L65" i="2"/>
  <c r="K65" i="2"/>
  <c r="J65" i="2"/>
  <c r="I65" i="2"/>
  <c r="H65" i="2"/>
  <c r="R64" i="2"/>
  <c r="Q64" i="2"/>
  <c r="O64" i="2"/>
  <c r="N64" i="2"/>
  <c r="M64" i="2"/>
  <c r="L64" i="2"/>
  <c r="K64" i="2"/>
  <c r="J64" i="2"/>
  <c r="I64" i="2"/>
  <c r="H64" i="2"/>
  <c r="R63" i="2"/>
  <c r="Q63" i="2"/>
  <c r="O63" i="2"/>
  <c r="N63" i="2"/>
  <c r="M63" i="2"/>
  <c r="L63" i="2"/>
  <c r="K63" i="2"/>
  <c r="J63" i="2"/>
  <c r="I63" i="2"/>
  <c r="H63" i="2"/>
  <c r="R62" i="2"/>
  <c r="Q62" i="2"/>
  <c r="O62" i="2"/>
  <c r="N62" i="2"/>
  <c r="M62" i="2"/>
  <c r="L62" i="2"/>
  <c r="K62" i="2"/>
  <c r="J62" i="2"/>
  <c r="I62" i="2"/>
  <c r="H62" i="2"/>
  <c r="R61" i="2"/>
  <c r="Q61" i="2"/>
  <c r="O61" i="2"/>
  <c r="N61" i="2"/>
  <c r="M61" i="2"/>
  <c r="L61" i="2"/>
  <c r="K61" i="2"/>
  <c r="J61" i="2"/>
  <c r="I61" i="2"/>
  <c r="H61" i="2"/>
  <c r="R60" i="2"/>
  <c r="Q60" i="2"/>
  <c r="O60" i="2"/>
  <c r="N60" i="2"/>
  <c r="M60" i="2"/>
  <c r="L60" i="2"/>
  <c r="K60" i="2"/>
  <c r="J60" i="2"/>
  <c r="I60" i="2"/>
  <c r="H60" i="2"/>
  <c r="R59" i="2"/>
  <c r="Q59" i="2"/>
  <c r="O59" i="2"/>
  <c r="N59" i="2"/>
  <c r="M59" i="2"/>
  <c r="L59" i="2"/>
  <c r="K59" i="2"/>
  <c r="J59" i="2"/>
  <c r="I59" i="2"/>
  <c r="H59" i="2"/>
  <c r="R58" i="2"/>
  <c r="Q58" i="2"/>
  <c r="O58" i="2"/>
  <c r="N58" i="2"/>
  <c r="M58" i="2"/>
  <c r="L58" i="2"/>
  <c r="K58" i="2"/>
  <c r="J58" i="2"/>
  <c r="I58" i="2"/>
  <c r="H58" i="2"/>
  <c r="R57" i="2"/>
  <c r="Q57" i="2"/>
  <c r="O57" i="2"/>
  <c r="N57" i="2"/>
  <c r="M57" i="2"/>
  <c r="L57" i="2"/>
  <c r="K57" i="2"/>
  <c r="J57" i="2"/>
  <c r="I57" i="2"/>
  <c r="H57" i="2"/>
  <c r="R56" i="2"/>
  <c r="Q56" i="2"/>
  <c r="O56" i="2"/>
  <c r="N56" i="2"/>
  <c r="M56" i="2"/>
  <c r="L56" i="2"/>
  <c r="K56" i="2"/>
  <c r="J56" i="2"/>
  <c r="I56" i="2"/>
  <c r="H56" i="2"/>
  <c r="R55" i="2"/>
  <c r="Q55" i="2"/>
  <c r="O55" i="2"/>
  <c r="N55" i="2"/>
  <c r="M55" i="2"/>
  <c r="L55" i="2"/>
  <c r="K55" i="2"/>
  <c r="J55" i="2"/>
  <c r="I55" i="2"/>
  <c r="H55" i="2"/>
  <c r="R54" i="2"/>
  <c r="Q54" i="2"/>
  <c r="O54" i="2"/>
  <c r="N54" i="2"/>
  <c r="M54" i="2"/>
  <c r="L54" i="2"/>
  <c r="K54" i="2"/>
  <c r="J54" i="2"/>
  <c r="I54" i="2"/>
  <c r="H54" i="2"/>
  <c r="R53" i="2"/>
  <c r="Q53" i="2"/>
  <c r="O53" i="2"/>
  <c r="N53" i="2"/>
  <c r="M53" i="2"/>
  <c r="L53" i="2"/>
  <c r="K53" i="2"/>
  <c r="J53" i="2"/>
  <c r="I53" i="2"/>
  <c r="H53" i="2"/>
  <c r="R52" i="2"/>
  <c r="Q52" i="2"/>
  <c r="O52" i="2"/>
  <c r="N52" i="2"/>
  <c r="M52" i="2"/>
  <c r="L52" i="2"/>
  <c r="K52" i="2"/>
  <c r="J52" i="2"/>
  <c r="I52" i="2"/>
  <c r="H52" i="2"/>
  <c r="R51" i="2"/>
  <c r="Q51" i="2"/>
  <c r="O51" i="2"/>
  <c r="N51" i="2"/>
  <c r="M51" i="2"/>
  <c r="L51" i="2"/>
  <c r="K51" i="2"/>
  <c r="J51" i="2"/>
  <c r="I51" i="2"/>
  <c r="H51" i="2"/>
  <c r="R50" i="2"/>
  <c r="Q50" i="2"/>
  <c r="O50" i="2"/>
  <c r="N50" i="2"/>
  <c r="M50" i="2"/>
  <c r="L50" i="2"/>
  <c r="K50" i="2"/>
  <c r="J50" i="2"/>
  <c r="I50" i="2"/>
  <c r="H50" i="2"/>
  <c r="R49" i="2"/>
  <c r="Q49" i="2"/>
  <c r="O49" i="2"/>
  <c r="N49" i="2"/>
  <c r="M49" i="2"/>
  <c r="L49" i="2"/>
  <c r="K49" i="2"/>
  <c r="J49" i="2"/>
  <c r="I49" i="2"/>
  <c r="H49" i="2"/>
  <c r="R48" i="2"/>
  <c r="Q48" i="2"/>
  <c r="O48" i="2"/>
  <c r="N48" i="2"/>
  <c r="M48" i="2"/>
  <c r="L48" i="2"/>
  <c r="K48" i="2"/>
  <c r="J48" i="2"/>
  <c r="I48" i="2"/>
  <c r="H48" i="2"/>
  <c r="R47" i="2"/>
  <c r="Q47" i="2"/>
  <c r="O47" i="2"/>
  <c r="N47" i="2"/>
  <c r="M47" i="2"/>
  <c r="L47" i="2"/>
  <c r="K47" i="2"/>
  <c r="J47" i="2"/>
  <c r="I47" i="2"/>
  <c r="H47" i="2"/>
  <c r="R46" i="2"/>
  <c r="Q46" i="2"/>
  <c r="O46" i="2"/>
  <c r="N46" i="2"/>
  <c r="M46" i="2"/>
  <c r="L46" i="2"/>
  <c r="K46" i="2"/>
  <c r="J46" i="2"/>
  <c r="I46" i="2"/>
  <c r="H46" i="2"/>
  <c r="R45" i="2"/>
  <c r="Q45" i="2"/>
  <c r="O45" i="2"/>
  <c r="N45" i="2"/>
  <c r="M45" i="2"/>
  <c r="L45" i="2"/>
  <c r="K45" i="2"/>
  <c r="J45" i="2"/>
  <c r="I45" i="2"/>
  <c r="H45" i="2"/>
  <c r="R44" i="2"/>
  <c r="Q44" i="2"/>
  <c r="O44" i="2"/>
  <c r="N44" i="2"/>
  <c r="M44" i="2"/>
  <c r="L44" i="2"/>
  <c r="K44" i="2"/>
  <c r="J44" i="2"/>
  <c r="I44" i="2"/>
  <c r="H44" i="2"/>
  <c r="R43" i="2"/>
  <c r="Q43" i="2"/>
  <c r="O43" i="2"/>
  <c r="N43" i="2"/>
  <c r="M43" i="2"/>
  <c r="L43" i="2"/>
  <c r="K43" i="2"/>
  <c r="J43" i="2"/>
  <c r="I43" i="2"/>
  <c r="H43" i="2"/>
  <c r="R42" i="2"/>
  <c r="Q42" i="2"/>
  <c r="O42" i="2"/>
  <c r="N42" i="2"/>
  <c r="M42" i="2"/>
  <c r="L42" i="2"/>
  <c r="K42" i="2"/>
  <c r="J42" i="2"/>
  <c r="I42" i="2"/>
  <c r="H42" i="2"/>
  <c r="R41" i="2"/>
  <c r="Q41" i="2"/>
  <c r="O41" i="2"/>
  <c r="N41" i="2"/>
  <c r="M41" i="2"/>
  <c r="L41" i="2"/>
  <c r="K41" i="2"/>
  <c r="J41" i="2"/>
  <c r="I41" i="2"/>
  <c r="H41" i="2"/>
  <c r="R40" i="2"/>
  <c r="Q40" i="2"/>
  <c r="O40" i="2"/>
  <c r="N40" i="2"/>
  <c r="M40" i="2"/>
  <c r="L40" i="2"/>
  <c r="K40" i="2"/>
  <c r="J40" i="2"/>
  <c r="I40" i="2"/>
  <c r="H40" i="2"/>
  <c r="R39" i="2"/>
  <c r="Q39" i="2"/>
  <c r="O39" i="2"/>
  <c r="N39" i="2"/>
  <c r="M39" i="2"/>
  <c r="L39" i="2"/>
  <c r="K39" i="2"/>
  <c r="J39" i="2"/>
  <c r="I39" i="2"/>
  <c r="H39" i="2"/>
  <c r="R38" i="2"/>
  <c r="Q38" i="2"/>
  <c r="O38" i="2"/>
  <c r="N38" i="2"/>
  <c r="M38" i="2"/>
  <c r="L38" i="2"/>
  <c r="K38" i="2"/>
  <c r="J38" i="2"/>
  <c r="I38" i="2"/>
  <c r="H38" i="2"/>
  <c r="R37" i="2"/>
  <c r="Q37" i="2"/>
  <c r="O37" i="2"/>
  <c r="N37" i="2"/>
  <c r="M37" i="2"/>
  <c r="L37" i="2"/>
  <c r="K37" i="2"/>
  <c r="J37" i="2"/>
  <c r="I37" i="2"/>
  <c r="H37" i="2"/>
  <c r="R36" i="2"/>
  <c r="Q36" i="2"/>
  <c r="O36" i="2"/>
  <c r="N36" i="2"/>
  <c r="M36" i="2"/>
  <c r="L36" i="2"/>
  <c r="K36" i="2"/>
  <c r="J36" i="2"/>
  <c r="I36" i="2"/>
  <c r="H36" i="2"/>
  <c r="R35" i="2"/>
  <c r="Q35" i="2"/>
  <c r="O35" i="2"/>
  <c r="N35" i="2"/>
  <c r="M35" i="2"/>
  <c r="L35" i="2"/>
  <c r="K35" i="2"/>
  <c r="J35" i="2"/>
  <c r="I35" i="2"/>
  <c r="H35" i="2"/>
  <c r="R34" i="2"/>
  <c r="Q34" i="2"/>
  <c r="O34" i="2"/>
  <c r="N34" i="2"/>
  <c r="M34" i="2"/>
  <c r="L34" i="2"/>
  <c r="K34" i="2"/>
  <c r="J34" i="2"/>
  <c r="I34" i="2"/>
  <c r="H34" i="2"/>
  <c r="R33" i="2"/>
  <c r="Q33" i="2"/>
  <c r="O33" i="2"/>
  <c r="N33" i="2"/>
  <c r="M33" i="2"/>
  <c r="L33" i="2"/>
  <c r="K33" i="2"/>
  <c r="J33" i="2"/>
  <c r="I33" i="2"/>
  <c r="H33" i="2"/>
  <c r="R32" i="2"/>
  <c r="Q32" i="2"/>
  <c r="O32" i="2"/>
  <c r="N32" i="2"/>
  <c r="M32" i="2"/>
  <c r="L32" i="2"/>
  <c r="K32" i="2"/>
  <c r="J32" i="2"/>
  <c r="I32" i="2"/>
  <c r="H32" i="2"/>
  <c r="R31" i="2"/>
  <c r="Q31" i="2"/>
  <c r="O31" i="2"/>
  <c r="N31" i="2"/>
  <c r="M31" i="2"/>
  <c r="L31" i="2"/>
  <c r="K31" i="2"/>
  <c r="J31" i="2"/>
  <c r="I31" i="2"/>
  <c r="H31" i="2"/>
  <c r="R30" i="2"/>
  <c r="Q30" i="2"/>
  <c r="O30" i="2"/>
  <c r="N30" i="2"/>
  <c r="M30" i="2"/>
  <c r="L30" i="2"/>
  <c r="K30" i="2"/>
  <c r="J30" i="2"/>
  <c r="I30" i="2"/>
  <c r="H30" i="2"/>
  <c r="R29" i="2"/>
  <c r="Q29" i="2"/>
  <c r="O29" i="2"/>
  <c r="N29" i="2"/>
  <c r="M29" i="2"/>
  <c r="L29" i="2"/>
  <c r="K29" i="2"/>
  <c r="J29" i="2"/>
  <c r="I29" i="2"/>
  <c r="H29" i="2"/>
  <c r="R28" i="2"/>
  <c r="Q28" i="2"/>
  <c r="O28" i="2"/>
  <c r="N28" i="2"/>
  <c r="M28" i="2"/>
  <c r="L28" i="2"/>
  <c r="K28" i="2"/>
  <c r="J28" i="2"/>
  <c r="I28" i="2"/>
  <c r="H28" i="2"/>
  <c r="R27" i="2"/>
  <c r="Q27" i="2"/>
  <c r="O27" i="2"/>
  <c r="N27" i="2"/>
  <c r="M27" i="2"/>
  <c r="L27" i="2"/>
  <c r="K27" i="2"/>
  <c r="J27" i="2"/>
  <c r="I27" i="2"/>
  <c r="H27" i="2"/>
  <c r="R26" i="2"/>
  <c r="Q26" i="2"/>
  <c r="O26" i="2"/>
  <c r="N26" i="2"/>
  <c r="M26" i="2"/>
  <c r="L26" i="2"/>
  <c r="K26" i="2"/>
  <c r="J26" i="2"/>
  <c r="I26" i="2"/>
  <c r="H26" i="2"/>
  <c r="R25" i="2"/>
  <c r="Q25" i="2"/>
  <c r="O25" i="2"/>
  <c r="N25" i="2"/>
  <c r="M25" i="2"/>
  <c r="L25" i="2"/>
  <c r="K25" i="2"/>
  <c r="J25" i="2"/>
  <c r="I25" i="2"/>
  <c r="H25" i="2"/>
  <c r="R24" i="2"/>
  <c r="Q24" i="2"/>
  <c r="O24" i="2"/>
  <c r="N24" i="2"/>
  <c r="M24" i="2"/>
  <c r="L24" i="2"/>
  <c r="K24" i="2"/>
  <c r="J24" i="2"/>
  <c r="I24" i="2"/>
  <c r="H24" i="2"/>
  <c r="R23" i="2"/>
  <c r="Q23" i="2"/>
  <c r="O23" i="2"/>
  <c r="N23" i="2"/>
  <c r="M23" i="2"/>
  <c r="L23" i="2"/>
  <c r="K23" i="2"/>
  <c r="J23" i="2"/>
  <c r="I23" i="2"/>
  <c r="H23" i="2"/>
  <c r="R22" i="2"/>
  <c r="Q22" i="2"/>
  <c r="O22" i="2"/>
  <c r="N22" i="2"/>
  <c r="M22" i="2"/>
  <c r="L22" i="2"/>
  <c r="K22" i="2"/>
  <c r="J22" i="2"/>
  <c r="I22" i="2"/>
  <c r="H22" i="2"/>
  <c r="R21" i="2"/>
  <c r="Q21" i="2"/>
  <c r="O21" i="2"/>
  <c r="N21" i="2"/>
  <c r="M21" i="2"/>
  <c r="L21" i="2"/>
  <c r="K21" i="2"/>
  <c r="J21" i="2"/>
  <c r="I21" i="2"/>
  <c r="H21" i="2"/>
  <c r="R20" i="2"/>
  <c r="Q20" i="2"/>
  <c r="O20" i="2"/>
  <c r="N20" i="2"/>
  <c r="M20" i="2"/>
  <c r="L20" i="2"/>
  <c r="K20" i="2"/>
  <c r="J20" i="2"/>
  <c r="I20" i="2"/>
  <c r="H20" i="2"/>
  <c r="R19" i="2"/>
  <c r="Q19" i="2"/>
  <c r="O19" i="2"/>
  <c r="N19" i="2"/>
  <c r="M19" i="2"/>
  <c r="L19" i="2"/>
  <c r="K19" i="2"/>
  <c r="J19" i="2"/>
  <c r="I19" i="2"/>
  <c r="H19" i="2"/>
  <c r="R18" i="2"/>
  <c r="Q18" i="2"/>
  <c r="O18" i="2"/>
  <c r="N18" i="2"/>
  <c r="M18" i="2"/>
  <c r="L18" i="2"/>
  <c r="K18" i="2"/>
  <c r="J18" i="2"/>
  <c r="I18" i="2"/>
  <c r="H18" i="2"/>
  <c r="R17" i="2"/>
  <c r="Q17" i="2"/>
  <c r="O17" i="2"/>
  <c r="N17" i="2"/>
  <c r="M17" i="2"/>
  <c r="L17" i="2"/>
  <c r="K17" i="2"/>
  <c r="J17" i="2"/>
  <c r="I17" i="2"/>
  <c r="H17" i="2"/>
  <c r="R16" i="2"/>
  <c r="Q16" i="2"/>
  <c r="O16" i="2"/>
  <c r="N16" i="2"/>
  <c r="M16" i="2"/>
  <c r="L16" i="2"/>
  <c r="K16" i="2"/>
  <c r="J16" i="2"/>
  <c r="I16" i="2"/>
  <c r="H16" i="2"/>
  <c r="L15" i="2"/>
  <c r="K15" i="2"/>
  <c r="J15" i="2"/>
  <c r="H15" i="2"/>
  <c r="L14" i="2"/>
  <c r="K14" i="2"/>
  <c r="J14" i="2"/>
  <c r="H14" i="2"/>
  <c r="L13" i="2"/>
  <c r="K13" i="2"/>
  <c r="J13" i="2"/>
  <c r="H13" i="2"/>
  <c r="L12" i="2"/>
  <c r="K12" i="2"/>
  <c r="J12" i="2"/>
  <c r="H12" i="2"/>
  <c r="L11" i="2"/>
  <c r="K11" i="2"/>
  <c r="J11" i="2"/>
  <c r="H11" i="2"/>
  <c r="I11" i="2" s="1"/>
  <c r="L10" i="2"/>
  <c r="K10" i="2"/>
  <c r="J10" i="2"/>
  <c r="H10" i="2"/>
  <c r="I10" i="2" s="1"/>
  <c r="L9" i="2"/>
  <c r="K9" i="2"/>
  <c r="J9" i="2"/>
  <c r="H9" i="2"/>
  <c r="L8" i="2"/>
  <c r="K8" i="2"/>
  <c r="J8" i="2"/>
  <c r="H8" i="2"/>
  <c r="N8" i="2" s="1"/>
  <c r="R7" i="2"/>
  <c r="N7" i="2"/>
  <c r="O7" i="2" s="1"/>
  <c r="M7" i="2"/>
  <c r="L7" i="2"/>
  <c r="K7" i="2"/>
  <c r="J7" i="2"/>
  <c r="H7" i="2"/>
  <c r="I7" i="2" s="1"/>
  <c r="L6" i="2"/>
  <c r="K6" i="2"/>
  <c r="J6" i="2"/>
  <c r="H6" i="2"/>
  <c r="L5" i="2"/>
  <c r="K5" i="2"/>
  <c r="J5" i="2"/>
  <c r="H5" i="2"/>
  <c r="I5" i="2" s="1"/>
  <c r="B20" i="1"/>
  <c r="B19" i="1"/>
  <c r="B18" i="1"/>
  <c r="B17" i="1"/>
  <c r="B16" i="1"/>
  <c r="J13" i="1"/>
  <c r="J12" i="1"/>
  <c r="J11" i="1"/>
  <c r="J10" i="1"/>
  <c r="J9" i="1"/>
  <c r="J8" i="1"/>
  <c r="A5" i="1"/>
  <c r="M12" i="2" l="1"/>
  <c r="N12" i="2" s="1"/>
  <c r="O12" i="2" s="1"/>
  <c r="Q12" i="2" s="1"/>
  <c r="M6" i="2"/>
  <c r="N6" i="2" s="1"/>
  <c r="O6" i="2" s="1"/>
  <c r="N11" i="2"/>
  <c r="R11" i="2" s="1"/>
  <c r="K5" i="1"/>
  <c r="R8" i="2"/>
  <c r="O8" i="2"/>
  <c r="Q8" i="2" s="1"/>
  <c r="C17" i="1"/>
  <c r="Q7" i="2"/>
  <c r="M5" i="2"/>
  <c r="N5" i="2" s="1"/>
  <c r="I9" i="2"/>
  <c r="M11" i="2"/>
  <c r="I15" i="2"/>
  <c r="I8" i="2"/>
  <c r="M10" i="2"/>
  <c r="N10" i="2" s="1"/>
  <c r="I14" i="2"/>
  <c r="M9" i="2"/>
  <c r="N9" i="2" s="1"/>
  <c r="I13" i="2"/>
  <c r="M15" i="2"/>
  <c r="N15" i="2" s="1"/>
  <c r="I6" i="2"/>
  <c r="M8" i="2"/>
  <c r="I12" i="2"/>
  <c r="M14" i="2"/>
  <c r="N14" i="2" s="1"/>
  <c r="M13" i="2"/>
  <c r="N13" i="2" s="1"/>
  <c r="L13" i="1" l="1"/>
  <c r="K13" i="1"/>
  <c r="O11" i="2"/>
  <c r="Q11" i="2" s="1"/>
  <c r="R12" i="2"/>
  <c r="B10" i="1"/>
  <c r="O13" i="2"/>
  <c r="Q13" i="2" s="1"/>
  <c r="L11" i="1"/>
  <c r="K11" i="1"/>
  <c r="K18" i="1"/>
  <c r="J16" i="1"/>
  <c r="L16" i="1" s="1"/>
  <c r="G5" i="1"/>
  <c r="J18" i="1"/>
  <c r="L18" i="1" s="1"/>
  <c r="K20" i="1"/>
  <c r="I5" i="1"/>
  <c r="J20" i="1"/>
  <c r="L20" i="1" s="1"/>
  <c r="C5" i="1"/>
  <c r="O5" i="2"/>
  <c r="R5" i="2" s="1"/>
  <c r="J17" i="1"/>
  <c r="L17" i="1" s="1"/>
  <c r="L8" i="1"/>
  <c r="K8" i="1"/>
  <c r="J19" i="1"/>
  <c r="L19" i="1" s="1"/>
  <c r="K10" i="1"/>
  <c r="O15" i="2"/>
  <c r="L10" i="1"/>
  <c r="L9" i="1"/>
  <c r="O14" i="2"/>
  <c r="C11" i="1" s="1"/>
  <c r="K9" i="1"/>
  <c r="C10" i="1"/>
  <c r="B12" i="1"/>
  <c r="L12" i="1"/>
  <c r="K12" i="1"/>
  <c r="O10" i="2"/>
  <c r="Q10" i="2" s="1"/>
  <c r="B9" i="1"/>
  <c r="Q6" i="2"/>
  <c r="O9" i="2"/>
  <c r="K16" i="1" s="1"/>
  <c r="B11" i="1"/>
  <c r="R6" i="2"/>
  <c r="B8" i="1"/>
  <c r="F9" i="1"/>
  <c r="G13" i="1"/>
  <c r="F13" i="1"/>
  <c r="F11" i="1"/>
  <c r="F12" i="1"/>
  <c r="G10" i="1"/>
  <c r="F8" i="1"/>
  <c r="F10" i="1"/>
  <c r="C18" i="1" l="1"/>
  <c r="G12" i="1"/>
  <c r="K19" i="1"/>
  <c r="C8" i="1"/>
  <c r="G9" i="1"/>
  <c r="R14" i="2"/>
  <c r="K17" i="1"/>
  <c r="G8" i="1"/>
  <c r="G11" i="1"/>
  <c r="Q15" i="2"/>
  <c r="C20" i="1"/>
  <c r="R15" i="2"/>
  <c r="R10" i="2"/>
  <c r="Q9" i="2"/>
  <c r="C12" i="1"/>
  <c r="C19" i="1"/>
  <c r="Q14" i="2"/>
  <c r="R9" i="2"/>
  <c r="E5" i="1"/>
  <c r="F16" i="1"/>
  <c r="G16" i="1" s="1"/>
  <c r="Q5" i="2"/>
  <c r="C16" i="1"/>
  <c r="F17" i="1"/>
  <c r="G17" i="1" s="1"/>
  <c r="C9" i="1"/>
  <c r="R13" i="2"/>
</calcChain>
</file>

<file path=xl/sharedStrings.xml><?xml version="1.0" encoding="utf-8"?>
<sst xmlns="http://schemas.openxmlformats.org/spreadsheetml/2006/main" count="200" uniqueCount="118">
  <si>
    <t>Product Inventory Expiry Alert Automation Summary</t>
  </si>
  <si>
    <t>Formula-driven summary tables prepared for dashboard charts. No charts are included so the file can be customised for portfolio presentation.</t>
  </si>
  <si>
    <t>Total Products</t>
  </si>
  <si>
    <t>Action Required</t>
  </si>
  <si>
    <t>Email Needed</t>
  </si>
  <si>
    <t>Completed</t>
  </si>
  <si>
    <t>Expired</t>
  </si>
  <si>
    <t>Due in 30 Days</t>
  </si>
  <si>
    <t>Expiry Risk</t>
  </si>
  <si>
    <t>Products</t>
  </si>
  <si>
    <t>Reminder Stage</t>
  </si>
  <si>
    <t>PIC</t>
  </si>
  <si>
    <t>Total Records</t>
  </si>
  <si>
    <t>Not Yet</t>
  </si>
  <si>
    <t>Ops Lead</t>
  </si>
  <si>
    <t>0-7 days</t>
  </si>
  <si>
    <t>1st Reminder</t>
  </si>
  <si>
    <t>Ops Manager</t>
  </si>
  <si>
    <t>8-14 days</t>
  </si>
  <si>
    <t>2nd Reminder</t>
  </si>
  <si>
    <t>GM</t>
  </si>
  <si>
    <t>15-30 days</t>
  </si>
  <si>
    <t>3rd Reminder</t>
  </si>
  <si>
    <t>Proc Lead</t>
  </si>
  <si>
    <t>30+ days</t>
  </si>
  <si>
    <t>Store Mgr</t>
  </si>
  <si>
    <t>QA Mgr</t>
  </si>
  <si>
    <t>Inv Ctrl</t>
  </si>
  <si>
    <t>Decision</t>
  </si>
  <si>
    <t>Records</t>
  </si>
  <si>
    <t>Email Required</t>
  </si>
  <si>
    <t>Share</t>
  </si>
  <si>
    <t>Action Status</t>
  </si>
  <si>
    <t>Pending</t>
  </si>
  <si>
    <t>Yes</t>
  </si>
  <si>
    <t>Scheduled</t>
  </si>
  <si>
    <t>No</t>
  </si>
  <si>
    <t>On Hold</t>
  </si>
  <si>
    <t>Escalate</t>
  </si>
  <si>
    <t>Review</t>
  </si>
  <si>
    <t>Product Inventory Expiry and Reminder Automation Tracker</t>
  </si>
  <si>
    <t>USER INPUT AREA</t>
  </si>
  <si>
    <t>FORMULA AND REMINDER LOGIC</t>
  </si>
  <si>
    <t>POWER AUTOMATE OUTPUT / DEMO FIELDS</t>
  </si>
  <si>
    <t>Record ID</t>
  </si>
  <si>
    <t>Product</t>
  </si>
  <si>
    <t>Category</t>
  </si>
  <si>
    <t>Expiry Date</t>
  </si>
  <si>
    <t>Notes</t>
  </si>
  <si>
    <t>Days Left</t>
  </si>
  <si>
    <t>Alert 1 Date</t>
  </si>
  <si>
    <t>Alert 2 Date</t>
  </si>
  <si>
    <t>Alert 3 Date</t>
  </si>
  <si>
    <t>Current Reminder Stage</t>
  </si>
  <si>
    <t>Last Email Sent</t>
  </si>
  <si>
    <t>Flow Update Status</t>
  </si>
  <si>
    <t>Next Action</t>
  </si>
  <si>
    <t>P001</t>
  </si>
  <si>
    <t>Sample A</t>
  </si>
  <si>
    <t>Chilled</t>
  </si>
  <si>
    <t>Check promotion plan</t>
  </si>
  <si>
    <t>P002</t>
  </si>
  <si>
    <t>Sample B</t>
  </si>
  <si>
    <t>Bakery</t>
  </si>
  <si>
    <t>Awaiting decision</t>
  </si>
  <si>
    <t>P003</t>
  </si>
  <si>
    <t>Sample C</t>
  </si>
  <si>
    <t>Frozen</t>
  </si>
  <si>
    <t>Action completed</t>
  </si>
  <si>
    <t>P004</t>
  </si>
  <si>
    <t>Sample D</t>
  </si>
  <si>
    <t>Grocery</t>
  </si>
  <si>
    <t>Expired item review</t>
  </si>
  <si>
    <t>P005</t>
  </si>
  <si>
    <t>Sample E</t>
  </si>
  <si>
    <t>No action yet</t>
  </si>
  <si>
    <t>P006</t>
  </si>
  <si>
    <t>Sample F</t>
  </si>
  <si>
    <t>Awaiting QA check</t>
  </si>
  <si>
    <t>P007</t>
  </si>
  <si>
    <t>Sample G</t>
  </si>
  <si>
    <t>Supplier follow up required</t>
  </si>
  <si>
    <t>P008</t>
  </si>
  <si>
    <t>Sample H</t>
  </si>
  <si>
    <t>Monitor</t>
  </si>
  <si>
    <t>P009</t>
  </si>
  <si>
    <t>Sample I</t>
  </si>
  <si>
    <t>Dairy</t>
  </si>
  <si>
    <t>Confirm discount option</t>
  </si>
  <si>
    <t>P010</t>
  </si>
  <si>
    <t>Sample J</t>
  </si>
  <si>
    <t>Beverage</t>
  </si>
  <si>
    <t>Waiting stock decision</t>
  </si>
  <si>
    <t>P011</t>
  </si>
  <si>
    <t>Sample K</t>
  </si>
  <si>
    <t>Fresh</t>
  </si>
  <si>
    <t>Management review needed</t>
  </si>
  <si>
    <t>Product Expiry Alert Rules and Validation Lists</t>
  </si>
  <si>
    <t>Alert Stage</t>
  </si>
  <si>
    <t>Days Before Expiry</t>
  </si>
  <si>
    <t>Action</t>
  </si>
  <si>
    <t>Power Automate Logic</t>
  </si>
  <si>
    <t>Decision List</t>
  </si>
  <si>
    <t>Status List</t>
  </si>
  <si>
    <t>PIC List</t>
  </si>
  <si>
    <t>Category List</t>
  </si>
  <si>
    <t>Expiry Risk List</t>
  </si>
  <si>
    <t>First reminder</t>
  </si>
  <si>
    <t>If today is on or after Alert 1 Date and Decision is not Yes</t>
  </si>
  <si>
    <t>Second reminder</t>
  </si>
  <si>
    <t>If today is on or after Alert 2 Date and Decision is not Yes</t>
  </si>
  <si>
    <t>Third reminder</t>
  </si>
  <si>
    <t>If today is on or after Alert 3 Date and Decision is not Yes</t>
  </si>
  <si>
    <t>No reminder due</t>
  </si>
  <si>
    <t>Expiry is outside the reminder window</t>
  </si>
  <si>
    <t>Stop reminders</t>
  </si>
  <si>
    <t>Decision is Yes</t>
  </si>
  <si>
    <t>Demo data is shown up to row 15; row 16 onward is ready for new entries.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</si>
</sst>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111827"/>
      <name val="Carlito"/>
    </font>
    <font>
      <i/>
      <sz val="11"/>
      <color rgb="FF111827"/>
      <name val="Carlito"/>
    </font>
    <font>
      <b/>
      <sz val="16"/>
      <color rgb="FF1F4E78"/>
      <name val="Carlito"/>
    </font>
    <font>
      <b/>
      <sz val="11"/>
      <color theme="0"/>
      <name val="Carlito"/>
    </font>
    <font>
      <b/>
      <sz val="11"/>
      <color rgb="FFFFFFFF"/>
      <name val="Calibri"/>
      <family val="2"/>
      <scheme val="minor"/>
    </font>
    <font>
      <sz val="11"/>
      <color rgb="FF111827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6"/>
      <color rgb="FFFFFFFF"/>
      <name val="Calibri"/>
      <family val="2"/>
      <scheme val="major"/>
    </font>
    <font>
      <sz val="11"/>
      <name val="Calibri"/>
      <family val="2"/>
      <scheme val="major"/>
    </font>
    <font>
      <b/>
      <sz val="11"/>
      <color rgb="FFFFFFFF"/>
      <name val="Calibri"/>
      <family val="2"/>
      <scheme val="major"/>
    </font>
    <font>
      <sz val="11"/>
      <color rgb="FF111827"/>
      <name val="Calibri"/>
      <family val="2"/>
      <scheme val="major"/>
    </font>
    <font>
      <b/>
      <sz val="11"/>
      <color theme="5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10"/>
      <color theme="3" tint="0.499984740745262"/>
      <name val="Carlito"/>
    </font>
    <font>
      <sz val="10"/>
      <color theme="3" tint="0.499984740745262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F4E78"/>
      </patternFill>
    </fill>
    <fill>
      <patternFill patternType="solid">
        <fgColor rgb="FFEEF6FC"/>
      </patternFill>
    </fill>
    <fill>
      <patternFill patternType="solid">
        <fgColor rgb="FFF8FAFC"/>
      </patternFill>
    </fill>
    <fill>
      <patternFill patternType="solid">
        <fgColor rgb="FF374151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9" borderId="0" xfId="0" applyFill="1" applyAlignment="1">
      <alignment vertical="center"/>
    </xf>
    <xf numFmtId="0" fontId="8" fillId="4" borderId="6" xfId="0" applyFont="1" applyFill="1" applyBorder="1" applyAlignment="1">
      <alignment vertical="center" wrapText="1"/>
    </xf>
    <xf numFmtId="0" fontId="8" fillId="4" borderId="0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8" fillId="8" borderId="0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vertical="center" wrapText="1"/>
    </xf>
    <xf numFmtId="0" fontId="8" fillId="5" borderId="9" xfId="0" applyFont="1" applyFill="1" applyBorder="1" applyAlignment="1">
      <alignment vertical="center" wrapText="1"/>
    </xf>
    <xf numFmtId="0" fontId="8" fillId="5" borderId="10" xfId="0" applyFont="1" applyFill="1" applyBorder="1" applyAlignment="1">
      <alignment vertical="center" wrapText="1"/>
    </xf>
    <xf numFmtId="164" fontId="9" fillId="5" borderId="6" xfId="0" applyNumberFormat="1" applyFont="1" applyFill="1" applyBorder="1" applyAlignment="1">
      <alignment vertical="center" wrapText="1"/>
    </xf>
    <xf numFmtId="0" fontId="4" fillId="11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wrapText="1"/>
    </xf>
    <xf numFmtId="0" fontId="3" fillId="4" borderId="0" xfId="0" applyFont="1" applyFill="1" applyBorder="1" applyAlignment="1">
      <alignment wrapText="1"/>
    </xf>
    <xf numFmtId="0" fontId="3" fillId="4" borderId="15" xfId="0" applyFont="1" applyFill="1" applyBorder="1" applyAlignment="1">
      <alignment wrapText="1"/>
    </xf>
    <xf numFmtId="0" fontId="3" fillId="4" borderId="16" xfId="0" applyFont="1" applyFill="1" applyBorder="1" applyAlignment="1">
      <alignment wrapText="1"/>
    </xf>
    <xf numFmtId="0" fontId="3" fillId="4" borderId="17" xfId="0" applyFont="1" applyFill="1" applyBorder="1" applyAlignment="1">
      <alignment wrapText="1"/>
    </xf>
    <xf numFmtId="0" fontId="3" fillId="4" borderId="18" xfId="0" applyFont="1" applyFill="1" applyBorder="1" applyAlignment="1">
      <alignment wrapText="1"/>
    </xf>
    <xf numFmtId="9" fontId="3" fillId="4" borderId="15" xfId="0" applyNumberFormat="1" applyFont="1" applyFill="1" applyBorder="1" applyAlignment="1">
      <alignment wrapText="1"/>
    </xf>
    <xf numFmtId="9" fontId="3" fillId="4" borderId="18" xfId="0" applyNumberFormat="1" applyFont="1" applyFill="1" applyBorder="1" applyAlignment="1">
      <alignment wrapText="1"/>
    </xf>
    <xf numFmtId="0" fontId="7" fillId="12" borderId="0" xfId="0" applyFont="1" applyFill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righ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right" vertical="center" wrapText="1"/>
    </xf>
    <xf numFmtId="0" fontId="8" fillId="8" borderId="9" xfId="0" applyFont="1" applyFill="1" applyBorder="1" applyAlignment="1">
      <alignment horizontal="right" vertical="center" wrapText="1"/>
    </xf>
    <xf numFmtId="164" fontId="14" fillId="4" borderId="4" xfId="0" applyNumberFormat="1" applyFont="1" applyFill="1" applyBorder="1" applyAlignment="1">
      <alignment vertical="center" wrapText="1"/>
    </xf>
    <xf numFmtId="164" fontId="14" fillId="4" borderId="0" xfId="0" applyNumberFormat="1" applyFont="1" applyFill="1" applyBorder="1" applyAlignment="1">
      <alignment vertical="center" wrapText="1"/>
    </xf>
    <xf numFmtId="164" fontId="14" fillId="4" borderId="9" xfId="0" applyNumberFormat="1" applyFont="1" applyFill="1" applyBorder="1" applyAlignment="1">
      <alignment vertical="center" wrapText="1"/>
    </xf>
    <xf numFmtId="0" fontId="15" fillId="4" borderId="4" xfId="0" applyFont="1" applyFill="1" applyBorder="1" applyAlignment="1">
      <alignment vertical="center" wrapText="1"/>
    </xf>
    <xf numFmtId="0" fontId="15" fillId="4" borderId="0" xfId="0" applyFont="1" applyFill="1" applyBorder="1" applyAlignment="1">
      <alignment vertical="center" wrapText="1"/>
    </xf>
    <xf numFmtId="0" fontId="15" fillId="4" borderId="9" xfId="0" applyFont="1" applyFill="1" applyBorder="1" applyAlignment="1">
      <alignment vertical="center" wrapText="1"/>
    </xf>
    <xf numFmtId="1" fontId="14" fillId="8" borderId="6" xfId="0" applyNumberFormat="1" applyFont="1" applyFill="1" applyBorder="1" applyAlignment="1">
      <alignment vertical="center" wrapText="1"/>
    </xf>
    <xf numFmtId="1" fontId="14" fillId="8" borderId="8" xfId="0" applyNumberFormat="1" applyFont="1" applyFill="1" applyBorder="1" applyAlignment="1">
      <alignment vertical="center" wrapText="1"/>
    </xf>
    <xf numFmtId="0" fontId="9" fillId="13" borderId="0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center" vertical="center" wrapText="1"/>
    </xf>
    <xf numFmtId="164" fontId="9" fillId="5" borderId="6" xfId="0" applyNumberFormat="1" applyFont="1" applyFill="1" applyBorder="1" applyAlignment="1">
      <alignment horizontal="center" vertical="center" wrapText="1"/>
    </xf>
    <xf numFmtId="164" fontId="9" fillId="5" borderId="8" xfId="0" applyNumberFormat="1" applyFont="1" applyFill="1" applyBorder="1" applyAlignment="1">
      <alignment horizontal="center" vertical="center" wrapText="1"/>
    </xf>
    <xf numFmtId="164" fontId="8" fillId="8" borderId="0" xfId="0" applyNumberFormat="1" applyFont="1" applyFill="1" applyBorder="1" applyAlignment="1">
      <alignment horizontal="center" vertical="center" wrapText="1"/>
    </xf>
    <xf numFmtId="164" fontId="8" fillId="8" borderId="9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theme="3" tint="0.499984740745262"/>
        </patternFill>
      </fill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Products by Expiry Risk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Dashboard!$A$8:$A$12</c:f>
              <c:strCache>
                <c:ptCount val="5"/>
                <c:pt idx="0">
                  <c:v>Expired</c:v>
                </c:pt>
                <c:pt idx="1">
                  <c:v>0-7 days</c:v>
                </c:pt>
                <c:pt idx="2">
                  <c:v>8-14 days</c:v>
                </c:pt>
                <c:pt idx="3">
                  <c:v>15-30 days</c:v>
                </c:pt>
                <c:pt idx="4">
                  <c:v>30+ days</c:v>
                </c:pt>
              </c:strCache>
            </c:strRef>
          </c:cat>
          <c:val>
            <c:numRef>
              <c:f>Dashboard!$B$8:$B$12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6-4543-9BEC-9C0DEB9AC317}"/>
            </c:ext>
          </c:extLst>
        </c:ser>
        <c:ser>
          <c:idx val="1"/>
          <c:order val="1"/>
          <c:tx>
            <c:strRef>
              <c:f>Dashboard!$C$7</c:f>
              <c:strCache>
                <c:ptCount val="1"/>
                <c:pt idx="0">
                  <c:v>Email Needed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Dashboard!$A$8:$A$12</c:f>
              <c:strCache>
                <c:ptCount val="5"/>
                <c:pt idx="0">
                  <c:v>Expired</c:v>
                </c:pt>
                <c:pt idx="1">
                  <c:v>0-7 days</c:v>
                </c:pt>
                <c:pt idx="2">
                  <c:v>8-14 days</c:v>
                </c:pt>
                <c:pt idx="3">
                  <c:v>15-30 days</c:v>
                </c:pt>
                <c:pt idx="4">
                  <c:v>30+ days</c:v>
                </c:pt>
              </c:strCache>
            </c:strRef>
          </c:cat>
          <c:val>
            <c:numRef>
              <c:f>Dashboard!$C$8:$C$12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76-4543-9BEC-9C0DEB9AC3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42431904"/>
        <c:axId val="442432384"/>
        <c:axId val="443917472"/>
      </c:bar3DChart>
      <c:catAx>
        <c:axId val="44243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32384"/>
        <c:crosses val="autoZero"/>
        <c:auto val="1"/>
        <c:lblAlgn val="ctr"/>
        <c:lblOffset val="100"/>
        <c:noMultiLvlLbl val="0"/>
      </c:catAx>
      <c:valAx>
        <c:axId val="442432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2431904"/>
        <c:crosses val="autoZero"/>
        <c:crossBetween val="between"/>
      </c:valAx>
      <c:serAx>
        <c:axId val="4439174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32384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Reminder Stage Progress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Dashboard!$F$7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Dashboard!$E$8:$E$13</c:f>
              <c:strCache>
                <c:ptCount val="6"/>
                <c:pt idx="0">
                  <c:v>Not Yet</c:v>
                </c:pt>
                <c:pt idx="1">
                  <c:v>1st Reminder</c:v>
                </c:pt>
                <c:pt idx="2">
                  <c:v>2nd Reminder</c:v>
                </c:pt>
                <c:pt idx="3">
                  <c:v>3rd Reminder</c:v>
                </c:pt>
                <c:pt idx="4">
                  <c:v>Expired</c:v>
                </c:pt>
                <c:pt idx="5">
                  <c:v>Completed</c:v>
                </c:pt>
              </c:strCache>
            </c:strRef>
          </c:cat>
          <c:val>
            <c:numRef>
              <c:f>Dashboard!$F$8:$F$13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D-41FF-A51D-86BC84A766C5}"/>
            </c:ext>
          </c:extLst>
        </c:ser>
        <c:ser>
          <c:idx val="1"/>
          <c:order val="1"/>
          <c:tx>
            <c:strRef>
              <c:f>Dashboard!$G$7</c:f>
              <c:strCache>
                <c:ptCount val="1"/>
                <c:pt idx="0">
                  <c:v>Email Needed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Dashboard!$E$8:$E$13</c:f>
              <c:strCache>
                <c:ptCount val="6"/>
                <c:pt idx="0">
                  <c:v>Not Yet</c:v>
                </c:pt>
                <c:pt idx="1">
                  <c:v>1st Reminder</c:v>
                </c:pt>
                <c:pt idx="2">
                  <c:v>2nd Reminder</c:v>
                </c:pt>
                <c:pt idx="3">
                  <c:v>3rd Reminder</c:v>
                </c:pt>
                <c:pt idx="4">
                  <c:v>Expired</c:v>
                </c:pt>
                <c:pt idx="5">
                  <c:v>Completed</c:v>
                </c:pt>
              </c:strCache>
            </c:strRef>
          </c:cat>
          <c:val>
            <c:numRef>
              <c:f>Dashboard!$G$8:$G$13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0D-41FF-A51D-86BC84A766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box"/>
        <c:axId val="442444384"/>
        <c:axId val="442434304"/>
        <c:axId val="0"/>
      </c:bar3DChart>
      <c:catAx>
        <c:axId val="44244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34304"/>
        <c:crosses val="autoZero"/>
        <c:auto val="1"/>
        <c:lblAlgn val="ctr"/>
        <c:lblOffset val="100"/>
        <c:noMultiLvlLbl val="0"/>
      </c:catAx>
      <c:valAx>
        <c:axId val="442434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244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PIC Follow Up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Dashboard!$I$8</c:f>
              <c:strCache>
                <c:ptCount val="1"/>
                <c:pt idx="0">
                  <c:v>Ops Lead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Dashboard!$J$7:$L$7</c:f>
              <c:strCache>
                <c:ptCount val="3"/>
                <c:pt idx="0">
                  <c:v>Total Records</c:v>
                </c:pt>
                <c:pt idx="1">
                  <c:v>Action Required</c:v>
                </c:pt>
                <c:pt idx="2">
                  <c:v>Completed</c:v>
                </c:pt>
              </c:strCache>
            </c:strRef>
          </c:cat>
          <c:val>
            <c:numRef>
              <c:f>Dashboard!$J$8:$L$8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C-4406-8571-294A9258FF57}"/>
            </c:ext>
          </c:extLst>
        </c:ser>
        <c:ser>
          <c:idx val="1"/>
          <c:order val="1"/>
          <c:tx>
            <c:strRef>
              <c:f>Dashboard!$I$9</c:f>
              <c:strCache>
                <c:ptCount val="1"/>
                <c:pt idx="0">
                  <c:v>Ops Manager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Dashboard!$J$7:$L$7</c:f>
              <c:strCache>
                <c:ptCount val="3"/>
                <c:pt idx="0">
                  <c:v>Total Records</c:v>
                </c:pt>
                <c:pt idx="1">
                  <c:v>Action Required</c:v>
                </c:pt>
                <c:pt idx="2">
                  <c:v>Completed</c:v>
                </c:pt>
              </c:strCache>
            </c:strRef>
          </c:cat>
          <c:val>
            <c:numRef>
              <c:f>Dashboard!$J$9:$L$9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C-4406-8571-294A9258FF57}"/>
            </c:ext>
          </c:extLst>
        </c:ser>
        <c:ser>
          <c:idx val="2"/>
          <c:order val="2"/>
          <c:tx>
            <c:strRef>
              <c:f>Dashboard!$I$10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Dashboard!$J$7:$L$7</c:f>
              <c:strCache>
                <c:ptCount val="3"/>
                <c:pt idx="0">
                  <c:v>Total Records</c:v>
                </c:pt>
                <c:pt idx="1">
                  <c:v>Action Required</c:v>
                </c:pt>
                <c:pt idx="2">
                  <c:v>Completed</c:v>
                </c:pt>
              </c:strCache>
            </c:strRef>
          </c:cat>
          <c:val>
            <c:numRef>
              <c:f>Dashboard!$J$10:$L$10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C-4406-8571-294A9258FF57}"/>
            </c:ext>
          </c:extLst>
        </c:ser>
        <c:ser>
          <c:idx val="3"/>
          <c:order val="3"/>
          <c:tx>
            <c:strRef>
              <c:f>Dashboard!$I$11</c:f>
              <c:strCache>
                <c:ptCount val="1"/>
                <c:pt idx="0">
                  <c:v>Proc Lead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Dashboard!$J$7:$L$7</c:f>
              <c:strCache>
                <c:ptCount val="3"/>
                <c:pt idx="0">
                  <c:v>Total Records</c:v>
                </c:pt>
                <c:pt idx="1">
                  <c:v>Action Required</c:v>
                </c:pt>
                <c:pt idx="2">
                  <c:v>Completed</c:v>
                </c:pt>
              </c:strCache>
            </c:strRef>
          </c:cat>
          <c:val>
            <c:numRef>
              <c:f>Dashboard!$J$11:$L$11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EC-4406-8571-294A9258FF57}"/>
            </c:ext>
          </c:extLst>
        </c:ser>
        <c:ser>
          <c:idx val="4"/>
          <c:order val="4"/>
          <c:tx>
            <c:strRef>
              <c:f>Dashboard!$I$12</c:f>
              <c:strCache>
                <c:ptCount val="1"/>
                <c:pt idx="0">
                  <c:v>QA Mgr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Dashboard!$J$7:$L$7</c:f>
              <c:strCache>
                <c:ptCount val="3"/>
                <c:pt idx="0">
                  <c:v>Total Records</c:v>
                </c:pt>
                <c:pt idx="1">
                  <c:v>Action Required</c:v>
                </c:pt>
                <c:pt idx="2">
                  <c:v>Completed</c:v>
                </c:pt>
              </c:strCache>
            </c:strRef>
          </c:cat>
          <c:val>
            <c:numRef>
              <c:f>Dashboard!$J$12:$L$12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EC-4406-8571-294A9258FF57}"/>
            </c:ext>
          </c:extLst>
        </c:ser>
        <c:ser>
          <c:idx val="5"/>
          <c:order val="5"/>
          <c:tx>
            <c:strRef>
              <c:f>Dashboard!$I$13</c:f>
              <c:strCache>
                <c:ptCount val="1"/>
                <c:pt idx="0">
                  <c:v>Inv Ctrl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Dashboard!$J$7:$L$7</c:f>
              <c:strCache>
                <c:ptCount val="3"/>
                <c:pt idx="0">
                  <c:v>Total Records</c:v>
                </c:pt>
                <c:pt idx="1">
                  <c:v>Action Required</c:v>
                </c:pt>
                <c:pt idx="2">
                  <c:v>Completed</c:v>
                </c:pt>
              </c:strCache>
            </c:strRef>
          </c:cat>
          <c:val>
            <c:numRef>
              <c:f>Dashboard!$J$13:$L$13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EC-4406-8571-294A9258FF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42447264"/>
        <c:axId val="442439104"/>
      </c:barChart>
      <c:catAx>
        <c:axId val="44244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39104"/>
        <c:crosses val="autoZero"/>
        <c:auto val="1"/>
        <c:lblAlgn val="ctr"/>
        <c:lblOffset val="100"/>
        <c:noMultiLvlLbl val="0"/>
      </c:catAx>
      <c:valAx>
        <c:axId val="442439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244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Action Status Breakdown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Records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Dashboard!$A$16:$A$20</c:f>
              <c:strCache>
                <c:ptCount val="5"/>
                <c:pt idx="0">
                  <c:v>Pending</c:v>
                </c:pt>
                <c:pt idx="1">
                  <c:v>Yes</c:v>
                </c:pt>
                <c:pt idx="2">
                  <c:v>No</c:v>
                </c:pt>
                <c:pt idx="3">
                  <c:v>On Hold</c:v>
                </c:pt>
                <c:pt idx="4">
                  <c:v>Escalate</c:v>
                </c:pt>
              </c:strCache>
            </c:strRef>
          </c:cat>
          <c:val>
            <c:numRef>
              <c:f>Dashboard!$B$16:$B$20</c:f>
              <c:numCache>
                <c:formatCode>General</c:formatCode>
                <c:ptCount val="5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9-4C0D-B4EE-0D1EC645F9CA}"/>
            </c:ext>
          </c:extLst>
        </c:ser>
        <c:ser>
          <c:idx val="1"/>
          <c:order val="1"/>
          <c:tx>
            <c:strRef>
              <c:f>Dashboard!$C$15</c:f>
              <c:strCache>
                <c:ptCount val="1"/>
                <c:pt idx="0">
                  <c:v>Email Needed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Dashboard!$A$16:$A$20</c:f>
              <c:strCache>
                <c:ptCount val="5"/>
                <c:pt idx="0">
                  <c:v>Pending</c:v>
                </c:pt>
                <c:pt idx="1">
                  <c:v>Yes</c:v>
                </c:pt>
                <c:pt idx="2">
                  <c:v>No</c:v>
                </c:pt>
                <c:pt idx="3">
                  <c:v>On Hold</c:v>
                </c:pt>
                <c:pt idx="4">
                  <c:v>Escalate</c:v>
                </c:pt>
              </c:strCache>
            </c:strRef>
          </c:cat>
          <c:val>
            <c:numRef>
              <c:f>Dashboard!$C$16:$C$20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9-4C0D-B4EE-0D1EC645F9C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426720</xdr:colOff>
      <xdr:row>21</xdr:row>
      <xdr:rowOff>64770</xdr:rowOff>
    </xdr:from>
    <xdr:to>
      <xdr:col>6</xdr:col>
      <xdr:colOff>15240</xdr:colOff>
      <xdr:row>37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EEB76-BEC6-BF11-2E68-EEADADCBC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720090</xdr:colOff>
      <xdr:row>21</xdr:row>
      <xdr:rowOff>95250</xdr:rowOff>
    </xdr:from>
    <xdr:to>
      <xdr:col>11</xdr:col>
      <xdr:colOff>354330</xdr:colOff>
      <xdr:row>37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A2E146-4A85-836D-756E-ADB4A010C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441960</xdr:colOff>
      <xdr:row>38</xdr:row>
      <xdr:rowOff>41910</xdr:rowOff>
    </xdr:from>
    <xdr:to>
      <xdr:col>6</xdr:col>
      <xdr:colOff>30480</xdr:colOff>
      <xdr:row>53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D0AEB1-722C-1A4B-C618-CA3690B27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704850</xdr:colOff>
      <xdr:row>38</xdr:row>
      <xdr:rowOff>49530</xdr:rowOff>
    </xdr:from>
    <xdr:to>
      <xdr:col>11</xdr:col>
      <xdr:colOff>339090</xdr:colOff>
      <xdr:row>53</xdr:row>
      <xdr:rowOff>163830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002EFD-3DED-0A28-D2B4-4A84674C0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16</xdr:row>
      <xdr:rowOff>99060</xdr:rowOff>
    </xdr:from>
    <xdr:to>
      <xdr:col>10</xdr:col>
      <xdr:colOff>15240</xdr:colOff>
      <xdr:row>27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E0694B-B07B-2D62-9CDC-54C18E13F389}"/>
            </a:ext>
          </a:extLst>
        </xdr:cNvPr>
        <xdr:cNvSpPr txBox="1"/>
      </xdr:nvSpPr>
      <xdr:spPr>
        <a:xfrm>
          <a:off x="266700" y="4632960"/>
          <a:ext cx="7178040" cy="16459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300" b="1"/>
            <a:t>📋 QUICK GUIDE: PRODUCT EXPIRY TRACKER</a:t>
          </a:r>
        </a:p>
        <a:p>
          <a:endParaRPr lang="en-GB" sz="1300" b="1"/>
        </a:p>
        <a:p>
          <a:r>
            <a:rPr lang="en-GB" b="0"/>
            <a:t>1. Add new products from row 16 onwards in Product_Tracker.</a:t>
          </a:r>
          <a:b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/>
            <a:t>Only update input fields:  </a:t>
          </a:r>
          <a:r>
            <a:rPr lang="en-GB" b="1"/>
            <a:t>Expiry Date, PIC, Decision and Notes</a:t>
          </a:r>
          <a:r>
            <a:rPr lang="en-GB" b="1" baseline="0"/>
            <a:t> (optinal)</a:t>
          </a:r>
          <a:r>
            <a:rPr lang="en-GB" b="1"/>
            <a:t>.</a:t>
          </a:r>
        </a:p>
        <a:p>
          <a:r>
            <a:rPr lang="en-GB" b="0"/>
            <a:t>3. </a:t>
          </a:r>
          <a:r>
            <a:rPr lang="en-GB"/>
            <a:t>Formula fields calculate Days Left, Expiry Risk, Reminder Stage, Email Required and Next Action automatically.</a:t>
          </a:r>
        </a:p>
        <a:p>
          <a:r>
            <a:rPr lang="en-GB" b="0"/>
            <a:t>4. </a:t>
          </a:r>
          <a:r>
            <a:rPr lang="en-GB"/>
            <a:t>Power Automate checks the tracker and sends reminders only when Email Required = Yes.</a:t>
          </a:r>
        </a:p>
        <a:p>
          <a:r>
            <a:rPr lang="en-GB" b="0"/>
            <a:t>5. </a:t>
          </a:r>
          <a:r>
            <a:rPr lang="en-GB"/>
            <a:t>Use Decision to control follow up: ✅ Yes = complete, ❌ No/Pending = keep reminding, 🚩 Escalate = review needed.</a:t>
          </a:r>
        </a:p>
        <a:p>
          <a:r>
            <a:rPr lang="en-GB" b="0"/>
            <a:t>6. </a:t>
          </a:r>
          <a:r>
            <a:rPr lang="en-GB"/>
            <a:t>Use Summary to review expiry risk, reminder stage, PIC ownership and completed decisions.</a:t>
          </a:r>
          <a:endParaRPr lang="en-GB" b="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rackerTable" displayName="ProductTrackerTable" ref="A4:R104" headerRowDxfId="0" dataDxfId="4" totalsRowDxfId="5">
  <tableColumns count="18">
    <tableColumn id="1" xr3:uid="{00000000-0010-0000-0000-000001000000}" name="Record ID" dataDxfId="20"/>
    <tableColumn id="2" xr3:uid="{00000000-0010-0000-0000-000002000000}" name="Product" dataDxfId="19"/>
    <tableColumn id="3" xr3:uid="{00000000-0010-0000-0000-000003000000}" name="Category" dataDxfId="18"/>
    <tableColumn id="6" xr3:uid="{00000000-0010-0000-0000-000006000000}" name="Expiry Date" dataDxfId="17"/>
    <tableColumn id="7" xr3:uid="{00000000-0010-0000-0000-000007000000}" name="PIC" dataDxfId="16"/>
    <tableColumn id="8" xr3:uid="{00000000-0010-0000-0000-000008000000}" name="Decision" dataDxfId="15"/>
    <tableColumn id="9" xr3:uid="{00000000-0010-0000-0000-000009000000}" name="Notes" dataDxfId="14"/>
    <tableColumn id="10" xr3:uid="{00000000-0010-0000-0000-00000A000000}" name="Days Left" dataDxfId="3"/>
    <tableColumn id="11" xr3:uid="{00000000-0010-0000-0000-00000B000000}" name="Expiry Risk" dataDxfId="1"/>
    <tableColumn id="12" xr3:uid="{00000000-0010-0000-0000-00000C000000}" name="Alert 1 Date" dataDxfId="2"/>
    <tableColumn id="13" xr3:uid="{00000000-0010-0000-0000-00000D000000}" name="Alert 2 Date" dataDxfId="13"/>
    <tableColumn id="14" xr3:uid="{00000000-0010-0000-0000-00000E000000}" name="Alert 3 Date" dataDxfId="12"/>
    <tableColumn id="15" xr3:uid="{00000000-0010-0000-0000-00000F000000}" name="Current Reminder Stage" dataDxfId="11"/>
    <tableColumn id="16" xr3:uid="{00000000-0010-0000-0000-000010000000}" name="Action Status" dataDxfId="10"/>
    <tableColumn id="17" xr3:uid="{00000000-0010-0000-0000-000011000000}" name="Email Required" dataDxfId="9"/>
    <tableColumn id="18" xr3:uid="{00000000-0010-0000-0000-000012000000}" name="Last Email Sent" dataDxfId="8"/>
    <tableColumn id="19" xr3:uid="{00000000-0010-0000-0000-000013000000}" name="Flow Update Status" dataDxfId="7"/>
    <tableColumn id="20" xr3:uid="{00000000-0010-0000-0000-000014000000}" name="Next Action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Normal="100" workbookViewId="0">
      <selection activeCell="N5" sqref="N5"/>
    </sheetView>
  </sheetViews>
  <sheetFormatPr defaultRowHeight="13.8"/>
  <cols>
    <col min="1" max="1" width="10.8984375" bestFit="1" customWidth="1"/>
    <col min="2" max="3" width="14" customWidth="1"/>
    <col min="4" max="4" width="8.296875" customWidth="1"/>
    <col min="5" max="5" width="15.09765625" customWidth="1"/>
    <col min="6" max="7" width="14" customWidth="1"/>
    <col min="8" max="8" width="7.09765625" customWidth="1"/>
    <col min="9" max="9" width="13.69921875" customWidth="1"/>
    <col min="10" max="10" width="14" customWidth="1"/>
    <col min="11" max="11" width="16" customWidth="1"/>
    <col min="12" max="12" width="14" customWidth="1"/>
  </cols>
  <sheetData>
    <row r="1" spans="1:12" ht="27.6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2" ht="23.4" customHeight="1">
      <c r="A4" s="37" t="s">
        <v>2</v>
      </c>
      <c r="B4" s="37"/>
      <c r="C4" s="37" t="s">
        <v>3</v>
      </c>
      <c r="D4" s="37"/>
      <c r="E4" s="37" t="s">
        <v>4</v>
      </c>
      <c r="F4" s="37"/>
      <c r="G4" s="37" t="s">
        <v>5</v>
      </c>
      <c r="H4" s="37"/>
      <c r="I4" s="37" t="s">
        <v>6</v>
      </c>
      <c r="J4" s="37"/>
      <c r="K4" s="37" t="s">
        <v>7</v>
      </c>
      <c r="L4" s="37"/>
    </row>
    <row r="5" spans="1:12" ht="39" customHeight="1">
      <c r="A5" s="38">
        <f>COUNTIF(Product_Tracker!$B$5:$B$104,"&lt;&gt;")</f>
        <v>11</v>
      </c>
      <c r="B5" s="38"/>
      <c r="C5" s="38">
        <f ca="1">COUNTIF(Product_Tracker!$N$5:$N$104,"Action Required")</f>
        <v>6</v>
      </c>
      <c r="D5" s="38"/>
      <c r="E5" s="38">
        <f ca="1">COUNTIF(Product_Tracker!$O$5:$O$104,"Yes")</f>
        <v>6</v>
      </c>
      <c r="F5" s="38"/>
      <c r="G5" s="38">
        <f ca="1">COUNTIF(Product_Tracker!$N$5:$N$104,"Completed")</f>
        <v>1</v>
      </c>
      <c r="H5" s="38"/>
      <c r="I5" s="38">
        <f ca="1">COUNTIF(Product_Tracker!$N$5:$N$104,"Expired")</f>
        <v>2</v>
      </c>
      <c r="J5" s="38"/>
      <c r="K5" s="38">
        <f ca="1">COUNTIFS(Product_Tracker!$H$5:$H$104,"&gt;=0",Product_Tracker!$H$5:$H$104,"&lt;=30")</f>
        <v>7</v>
      </c>
      <c r="L5" s="38"/>
    </row>
    <row r="7" spans="1:12" ht="12" customHeight="1">
      <c r="A7" s="39" t="s">
        <v>8</v>
      </c>
      <c r="B7" s="40" t="s">
        <v>9</v>
      </c>
      <c r="C7" s="41" t="s">
        <v>4</v>
      </c>
      <c r="E7" s="39" t="s">
        <v>10</v>
      </c>
      <c r="F7" s="40" t="s">
        <v>9</v>
      </c>
      <c r="G7" s="41" t="s">
        <v>4</v>
      </c>
      <c r="I7" s="39" t="s">
        <v>11</v>
      </c>
      <c r="J7" s="40" t="s">
        <v>12</v>
      </c>
      <c r="K7" s="40" t="s">
        <v>3</v>
      </c>
      <c r="L7" s="41" t="s">
        <v>5</v>
      </c>
    </row>
    <row r="8" spans="1:12" ht="12" customHeight="1">
      <c r="A8" s="42" t="s">
        <v>6</v>
      </c>
      <c r="B8" s="43">
        <f ca="1">COUNTIF(Product_Tracker!$I$5:$I$104,A8)</f>
        <v>2</v>
      </c>
      <c r="C8" s="44">
        <f ca="1">COUNTIFS(Product_Tracker!$I$5:$I$104,A8,Product_Tracker!$O$5:$O$104,"Yes")</f>
        <v>0</v>
      </c>
      <c r="E8" s="42" t="s">
        <v>13</v>
      </c>
      <c r="F8" s="43">
        <f ca="1">COUNTIF(Product_Tracker!$M$5:$M$104,E8)</f>
        <v>2</v>
      </c>
      <c r="G8" s="44">
        <f ca="1">COUNTIFS(Product_Tracker!$M$5:$M$104,E8,Product_Tracker!$O$5:$O$104,"Yes")</f>
        <v>0</v>
      </c>
      <c r="I8" s="42" t="s">
        <v>14</v>
      </c>
      <c r="J8" s="43">
        <f>COUNTIF(Product_Tracker!$E$5:$E$104,I8)</f>
        <v>2</v>
      </c>
      <c r="K8" s="43">
        <f ca="1">COUNTIFS(Product_Tracker!$E$5:$E$104,I8,Product_Tracker!$N$5:$N$104,"Action Required")</f>
        <v>1</v>
      </c>
      <c r="L8" s="44">
        <f ca="1">COUNTIFS(Product_Tracker!$E$5:$E$104,I8,Product_Tracker!$N$5:$N$104,"Completed")</f>
        <v>0</v>
      </c>
    </row>
    <row r="9" spans="1:12" ht="12" customHeight="1">
      <c r="A9" s="42" t="s">
        <v>15</v>
      </c>
      <c r="B9" s="43">
        <f ca="1">COUNTIF(Product_Tracker!$I$5:$I$104,A9)</f>
        <v>3</v>
      </c>
      <c r="C9" s="44">
        <f ca="1">COUNTIFS(Product_Tracker!$I$5:$I$104,A9,Product_Tracker!$O$5:$O$104,"Yes")</f>
        <v>3</v>
      </c>
      <c r="E9" s="42" t="s">
        <v>16</v>
      </c>
      <c r="F9" s="43">
        <f ca="1">COUNTIF(Product_Tracker!$M$5:$M$104,E9)</f>
        <v>1</v>
      </c>
      <c r="G9" s="44">
        <f ca="1">COUNTIFS(Product_Tracker!$M$5:$M$104,E9,Product_Tracker!$O$5:$O$104,"Yes")</f>
        <v>1</v>
      </c>
      <c r="I9" s="42" t="s">
        <v>17</v>
      </c>
      <c r="J9" s="43">
        <f>COUNTIF(Product_Tracker!$E$5:$E$104,I9)</f>
        <v>1</v>
      </c>
      <c r="K9" s="43">
        <f ca="1">COUNTIFS(Product_Tracker!$E$5:$E$104,I9,Product_Tracker!$N$5:$N$104,"Action Required")</f>
        <v>1</v>
      </c>
      <c r="L9" s="44">
        <f ca="1">COUNTIFS(Product_Tracker!$E$5:$E$104,I9,Product_Tracker!$N$5:$N$104,"Completed")</f>
        <v>0</v>
      </c>
    </row>
    <row r="10" spans="1:12" ht="12" customHeight="1">
      <c r="A10" s="42" t="s">
        <v>18</v>
      </c>
      <c r="B10" s="43">
        <f ca="1">COUNTIF(Product_Tracker!$I$5:$I$104,A10)</f>
        <v>2</v>
      </c>
      <c r="C10" s="44">
        <f ca="1">COUNTIFS(Product_Tracker!$I$5:$I$104,A10,Product_Tracker!$O$5:$O$104,"Yes")</f>
        <v>2</v>
      </c>
      <c r="E10" s="42" t="s">
        <v>19</v>
      </c>
      <c r="F10" s="43">
        <f ca="1">COUNTIF(Product_Tracker!$M$5:$M$104,E10)</f>
        <v>2</v>
      </c>
      <c r="G10" s="44">
        <f ca="1">COUNTIFS(Product_Tracker!$M$5:$M$104,E10,Product_Tracker!$O$5:$O$104,"Yes")</f>
        <v>2</v>
      </c>
      <c r="I10" s="42" t="s">
        <v>20</v>
      </c>
      <c r="J10" s="43">
        <f>COUNTIF(Product_Tracker!$E$5:$E$104,I10)</f>
        <v>1</v>
      </c>
      <c r="K10" s="43">
        <f ca="1">COUNTIFS(Product_Tracker!$E$5:$E$104,I10,Product_Tracker!$N$5:$N$104,"Action Required")</f>
        <v>1</v>
      </c>
      <c r="L10" s="44">
        <f ca="1">COUNTIFS(Product_Tracker!$E$5:$E$104,I10,Product_Tracker!$N$5:$N$104,"Completed")</f>
        <v>0</v>
      </c>
    </row>
    <row r="11" spans="1:12" ht="12" customHeight="1">
      <c r="A11" s="42" t="s">
        <v>21</v>
      </c>
      <c r="B11" s="43">
        <f ca="1">COUNTIF(Product_Tracker!$I$5:$I$104,A11)</f>
        <v>2</v>
      </c>
      <c r="C11" s="44">
        <f ca="1">COUNTIFS(Product_Tracker!$I$5:$I$104,A11,Product_Tracker!$O$5:$O$104,"Yes")</f>
        <v>1</v>
      </c>
      <c r="E11" s="42" t="s">
        <v>22</v>
      </c>
      <c r="F11" s="43">
        <f ca="1">COUNTIF(Product_Tracker!$M$5:$M$104,E11)</f>
        <v>3</v>
      </c>
      <c r="G11" s="44">
        <f ca="1">COUNTIFS(Product_Tracker!$M$5:$M$104,E11,Product_Tracker!$O$5:$O$104,"Yes")</f>
        <v>3</v>
      </c>
      <c r="I11" s="42" t="s">
        <v>23</v>
      </c>
      <c r="J11" s="43">
        <f>COUNTIF(Product_Tracker!$E$5:$E$104,I11)</f>
        <v>2</v>
      </c>
      <c r="K11" s="43">
        <f ca="1">COUNTIFS(Product_Tracker!$E$5:$E$104,I11,Product_Tracker!$N$5:$N$104,"Action Required")</f>
        <v>1</v>
      </c>
      <c r="L11" s="44">
        <f ca="1">COUNTIFS(Product_Tracker!$E$5:$E$104,I11,Product_Tracker!$N$5:$N$104,"Completed")</f>
        <v>0</v>
      </c>
    </row>
    <row r="12" spans="1:12" ht="12" customHeight="1">
      <c r="A12" s="45" t="s">
        <v>24</v>
      </c>
      <c r="B12" s="46">
        <f ca="1">COUNTIF(Product_Tracker!$I$5:$I$104,A12)</f>
        <v>2</v>
      </c>
      <c r="C12" s="47">
        <f ca="1">COUNTIFS(Product_Tracker!$I$5:$I$104,A12,Product_Tracker!$O$5:$O$104,"Yes")</f>
        <v>0</v>
      </c>
      <c r="E12" s="42" t="s">
        <v>6</v>
      </c>
      <c r="F12" s="43">
        <f ca="1">COUNTIF(Product_Tracker!$M$5:$M$104,E12)</f>
        <v>2</v>
      </c>
      <c r="G12" s="44">
        <f ca="1">COUNTIFS(Product_Tracker!$M$5:$M$104,E12,Product_Tracker!$O$5:$O$104,"Yes")</f>
        <v>0</v>
      </c>
      <c r="I12" s="42" t="s">
        <v>26</v>
      </c>
      <c r="J12" s="43">
        <f>COUNTIF(Product_Tracker!$E$5:$E$104,I12)</f>
        <v>2</v>
      </c>
      <c r="K12" s="43">
        <f ca="1">COUNTIFS(Product_Tracker!$E$5:$E$104,I12,Product_Tracker!$N$5:$N$104,"Action Required")</f>
        <v>1</v>
      </c>
      <c r="L12" s="44">
        <f ca="1">COUNTIFS(Product_Tracker!$E$5:$E$104,I12,Product_Tracker!$N$5:$N$104,"Completed")</f>
        <v>0</v>
      </c>
    </row>
    <row r="13" spans="1:12" ht="12" customHeight="1">
      <c r="E13" s="45" t="s">
        <v>5</v>
      </c>
      <c r="F13" s="46">
        <f ca="1">COUNTIF(Product_Tracker!$M$5:$M$104,E13)</f>
        <v>1</v>
      </c>
      <c r="G13" s="47">
        <f ca="1">COUNTIFS(Product_Tracker!$M$5:$M$104,E13,Product_Tracker!$O$5:$O$104,"Yes")</f>
        <v>0</v>
      </c>
      <c r="I13" s="45" t="s">
        <v>27</v>
      </c>
      <c r="J13" s="46">
        <f>COUNTIF(Product_Tracker!$E$5:$E$104,I13)</f>
        <v>3</v>
      </c>
      <c r="K13" s="46">
        <f ca="1">COUNTIFS(Product_Tracker!$E$5:$E$104,I13,Product_Tracker!$N$5:$N$104,"Action Required")</f>
        <v>1</v>
      </c>
      <c r="L13" s="47">
        <f ca="1">COUNTIFS(Product_Tracker!$E$5:$E$104,I13,Product_Tracker!$N$5:$N$104,"Completed")</f>
        <v>1</v>
      </c>
    </row>
    <row r="15" spans="1:12" ht="12" customHeight="1">
      <c r="A15" s="39" t="s">
        <v>28</v>
      </c>
      <c r="B15" s="40" t="s">
        <v>29</v>
      </c>
      <c r="C15" s="41" t="s">
        <v>4</v>
      </c>
      <c r="E15" s="39" t="s">
        <v>30</v>
      </c>
      <c r="F15" s="40" t="s">
        <v>29</v>
      </c>
      <c r="G15" s="41" t="s">
        <v>31</v>
      </c>
      <c r="I15" s="39" t="s">
        <v>32</v>
      </c>
      <c r="J15" s="40" t="s">
        <v>29</v>
      </c>
      <c r="K15" s="40" t="s">
        <v>4</v>
      </c>
      <c r="L15" s="41" t="s">
        <v>31</v>
      </c>
    </row>
    <row r="16" spans="1:12" ht="12" customHeight="1">
      <c r="A16" s="42" t="s">
        <v>33</v>
      </c>
      <c r="B16" s="43">
        <f>COUNTIF(Product_Tracker!$F$5:$F$104,A16)</f>
        <v>6</v>
      </c>
      <c r="C16" s="44">
        <f ca="1">COUNTIFS(Product_Tracker!$F$5:$F$104,A16,Product_Tracker!$O$5:$O$104,"Yes")</f>
        <v>3</v>
      </c>
      <c r="E16" s="42" t="s">
        <v>34</v>
      </c>
      <c r="F16" s="43">
        <f ca="1">COUNTIF(Product_Tracker!$O$5:$O$104,E16)</f>
        <v>6</v>
      </c>
      <c r="G16" s="48">
        <f ca="1">IFERROR(F16/$A$5,0)</f>
        <v>0.54545454545454541</v>
      </c>
      <c r="I16" s="42" t="s">
        <v>35</v>
      </c>
      <c r="J16" s="43">
        <f ca="1">COUNTIF(Product_Tracker!$N$5:$N$104,I16)</f>
        <v>2</v>
      </c>
      <c r="K16" s="43">
        <f ca="1">COUNTIFS(Product_Tracker!$N$5:$N$104,I16,Product_Tracker!$O$5:$O$104,"Yes")</f>
        <v>0</v>
      </c>
      <c r="L16" s="48">
        <f ca="1">IFERROR(J16/$A$5,0)</f>
        <v>0.18181818181818182</v>
      </c>
    </row>
    <row r="17" spans="1:12" ht="12" customHeight="1">
      <c r="A17" s="42" t="s">
        <v>34</v>
      </c>
      <c r="B17" s="43">
        <f>COUNTIF(Product_Tracker!$F$5:$F$104,A17)</f>
        <v>1</v>
      </c>
      <c r="C17" s="44">
        <f>COUNTIFS(Product_Tracker!$F$5:$F$104,A17,Product_Tracker!$O$5:$O$104,"Yes")</f>
        <v>0</v>
      </c>
      <c r="E17" s="45" t="s">
        <v>36</v>
      </c>
      <c r="F17" s="46">
        <f ca="1">COUNTIF(Product_Tracker!$O$5:$O$104,E17)</f>
        <v>5</v>
      </c>
      <c r="G17" s="49">
        <f ca="1">IFERROR(F17/$A$5,0)</f>
        <v>0.45454545454545453</v>
      </c>
      <c r="I17" s="42" t="s">
        <v>3</v>
      </c>
      <c r="J17" s="43">
        <f ca="1">COUNTIF(Product_Tracker!$N$5:$N$104,I17)</f>
        <v>6</v>
      </c>
      <c r="K17" s="43">
        <f ca="1">COUNTIFS(Product_Tracker!$N$5:$N$104,I17,Product_Tracker!$O$5:$O$104,"Yes")</f>
        <v>6</v>
      </c>
      <c r="L17" s="48">
        <f ca="1">IFERROR(J17/$A$5,0)</f>
        <v>0.54545454545454541</v>
      </c>
    </row>
    <row r="18" spans="1:12" ht="12" customHeight="1">
      <c r="A18" s="42" t="s">
        <v>36</v>
      </c>
      <c r="B18" s="43">
        <f>COUNTIF(Product_Tracker!$F$5:$F$104,A18)</f>
        <v>2</v>
      </c>
      <c r="C18" s="44">
        <f ca="1">COUNTIFS(Product_Tracker!$F$5:$F$104,A18,Product_Tracker!$O$5:$O$104,"Yes")</f>
        <v>1</v>
      </c>
      <c r="I18" s="42" t="s">
        <v>5</v>
      </c>
      <c r="J18" s="43">
        <f ca="1">COUNTIF(Product_Tracker!$N$5:$N$104,I18)</f>
        <v>1</v>
      </c>
      <c r="K18" s="43">
        <f ca="1">COUNTIFS(Product_Tracker!$N$5:$N$104,I18,Product_Tracker!$O$5:$O$104,"Yes")</f>
        <v>0</v>
      </c>
      <c r="L18" s="48">
        <f ca="1">IFERROR(J18/$A$5,0)</f>
        <v>9.0909090909090912E-2</v>
      </c>
    </row>
    <row r="19" spans="1:12" ht="12" customHeight="1">
      <c r="A19" s="42" t="s">
        <v>37</v>
      </c>
      <c r="B19" s="43">
        <f>COUNTIF(Product_Tracker!$F$5:$F$104,A19)</f>
        <v>1</v>
      </c>
      <c r="C19" s="44">
        <f ca="1">COUNTIFS(Product_Tracker!$F$5:$F$104,A19,Product_Tracker!$O$5:$O$104,"Yes")</f>
        <v>1</v>
      </c>
      <c r="I19" s="42" t="s">
        <v>6</v>
      </c>
      <c r="J19" s="43">
        <f ca="1">COUNTIF(Product_Tracker!$N$5:$N$104,I19)</f>
        <v>2</v>
      </c>
      <c r="K19" s="43">
        <f ca="1">COUNTIFS(Product_Tracker!$N$5:$N$104,I19,Product_Tracker!$O$5:$O$104,"Yes")</f>
        <v>0</v>
      </c>
      <c r="L19" s="48">
        <f ca="1">IFERROR(J19/$A$5,0)</f>
        <v>0.18181818181818182</v>
      </c>
    </row>
    <row r="20" spans="1:12" ht="12" customHeight="1">
      <c r="A20" s="45" t="s">
        <v>38</v>
      </c>
      <c r="B20" s="46">
        <f>COUNTIF(Product_Tracker!$F$5:$F$104,A20)</f>
        <v>1</v>
      </c>
      <c r="C20" s="47">
        <f ca="1">COUNTIFS(Product_Tracker!$F$5:$F$104,A20,Product_Tracker!$O$5:$O$104,"Yes")</f>
        <v>1</v>
      </c>
      <c r="I20" s="45" t="s">
        <v>39</v>
      </c>
      <c r="J20" s="46">
        <f ca="1">COUNTIF(Product_Tracker!$N$5:$N$104,I20)</f>
        <v>0</v>
      </c>
      <c r="K20" s="46">
        <f ca="1">COUNTIFS(Product_Tracker!$N$5:$N$104,I20,Product_Tracker!$O$5:$O$104,"Yes")</f>
        <v>0</v>
      </c>
      <c r="L20" s="49">
        <f ca="1">IFERROR(J20/$A$5,0)</f>
        <v>0</v>
      </c>
    </row>
  </sheetData>
  <mergeCells count="14">
    <mergeCell ref="A1:L1"/>
    <mergeCell ref="A2:L2"/>
    <mergeCell ref="C4:D4"/>
    <mergeCell ref="A4:B4"/>
    <mergeCell ref="A5:B5"/>
    <mergeCell ref="C5:D5"/>
    <mergeCell ref="E5:F5"/>
    <mergeCell ref="E4:F4"/>
    <mergeCell ref="G4:H4"/>
    <mergeCell ref="G5:H5"/>
    <mergeCell ref="I4:J4"/>
    <mergeCell ref="I5:J5"/>
    <mergeCell ref="K4:L4"/>
    <mergeCell ref="K5:L5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4"/>
  <sheetViews>
    <sheetView topLeftCell="A4" workbookViewId="0">
      <selection activeCell="M23" sqref="M23"/>
    </sheetView>
  </sheetViews>
  <sheetFormatPr defaultRowHeight="13.8"/>
  <cols>
    <col min="1" max="1" width="6.19921875" style="5" bestFit="1" customWidth="1"/>
    <col min="2" max="3" width="7.69921875" style="5" bestFit="1" customWidth="1"/>
    <col min="4" max="4" width="9.69921875" style="5" bestFit="1" customWidth="1"/>
    <col min="5" max="5" width="10.59765625" style="5" bestFit="1" customWidth="1"/>
    <col min="6" max="6" width="8.59765625" style="5" customWidth="1"/>
    <col min="7" max="7" width="22" style="5" bestFit="1" customWidth="1"/>
    <col min="8" max="8" width="5" style="5" customWidth="1"/>
    <col min="9" max="9" width="9.69921875" style="9" customWidth="1"/>
    <col min="10" max="10" width="10.296875" style="5" customWidth="1"/>
    <col min="11" max="12" width="11.09765625" style="5" bestFit="1" customWidth="1"/>
    <col min="13" max="13" width="14.3984375" style="5" bestFit="1" customWidth="1"/>
    <col min="14" max="14" width="12.5" style="5" bestFit="1" customWidth="1"/>
    <col min="15" max="15" width="8.8984375" style="5" bestFit="1" customWidth="1"/>
    <col min="16" max="16" width="11.09765625" style="5" customWidth="1"/>
    <col min="17" max="17" width="18.5" style="5" bestFit="1" customWidth="1"/>
    <col min="18" max="18" width="31.3984375" style="5" bestFit="1" customWidth="1"/>
    <col min="19" max="16384" width="8.796875" style="5"/>
  </cols>
  <sheetData>
    <row r="1" spans="1:18" ht="44.4" customHeight="1">
      <c r="A1" s="1" t="s">
        <v>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27.6" customHeight="1">
      <c r="A2" s="74" t="s">
        <v>117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</row>
    <row r="3" spans="1:18" ht="30" customHeight="1" thickBot="1">
      <c r="A3" s="6" t="s">
        <v>41</v>
      </c>
      <c r="B3" s="6"/>
      <c r="C3" s="6"/>
      <c r="D3" s="6"/>
      <c r="E3" s="6"/>
      <c r="F3" s="6"/>
      <c r="G3" s="6"/>
      <c r="H3" s="7" t="s">
        <v>42</v>
      </c>
      <c r="I3" s="7"/>
      <c r="J3" s="7"/>
      <c r="K3" s="7"/>
      <c r="L3" s="7"/>
      <c r="M3" s="7"/>
      <c r="N3" s="7"/>
      <c r="O3" s="7"/>
      <c r="P3" s="8" t="s">
        <v>43</v>
      </c>
      <c r="Q3" s="8"/>
      <c r="R3" s="8"/>
    </row>
    <row r="4" spans="1:18" ht="31.8" customHeight="1" thickBot="1">
      <c r="A4" s="50" t="s">
        <v>44</v>
      </c>
      <c r="B4" s="50" t="s">
        <v>45</v>
      </c>
      <c r="C4" s="50" t="s">
        <v>46</v>
      </c>
      <c r="D4" s="50" t="s">
        <v>47</v>
      </c>
      <c r="E4" s="50" t="s">
        <v>11</v>
      </c>
      <c r="F4" s="50" t="s">
        <v>28</v>
      </c>
      <c r="G4" s="50" t="s">
        <v>48</v>
      </c>
      <c r="H4" s="51" t="s">
        <v>49</v>
      </c>
      <c r="I4" s="52" t="s">
        <v>8</v>
      </c>
      <c r="J4" s="53" t="s">
        <v>50</v>
      </c>
      <c r="K4" s="53" t="s">
        <v>51</v>
      </c>
      <c r="L4" s="53" t="s">
        <v>52</v>
      </c>
      <c r="M4" s="53" t="s">
        <v>53</v>
      </c>
      <c r="N4" s="53" t="s">
        <v>32</v>
      </c>
      <c r="O4" s="54" t="s">
        <v>30</v>
      </c>
      <c r="P4" s="51" t="s">
        <v>54</v>
      </c>
      <c r="Q4" s="53" t="s">
        <v>55</v>
      </c>
      <c r="R4" s="54" t="s">
        <v>56</v>
      </c>
    </row>
    <row r="5" spans="1:18" ht="19.2" customHeight="1">
      <c r="A5" s="24" t="s">
        <v>57</v>
      </c>
      <c r="B5" s="25" t="s">
        <v>58</v>
      </c>
      <c r="C5" s="71" t="s">
        <v>59</v>
      </c>
      <c r="D5" s="57">
        <v>46183</v>
      </c>
      <c r="E5" s="71" t="s">
        <v>14</v>
      </c>
      <c r="F5" s="71" t="s">
        <v>33</v>
      </c>
      <c r="G5" s="60" t="s">
        <v>60</v>
      </c>
      <c r="H5" s="63">
        <f ca="1">IF($B5="","",$D5-TODAY())</f>
        <v>3</v>
      </c>
      <c r="I5" s="55" t="str">
        <f ca="1">IF($B5="","",IF($H5&lt;0,"Expired",IF($H5&lt;=7,"0-7 days",IF($H5&lt;=14,"8-14 days",IF($H5&lt;=30,"15-30 days","30+ days")))))</f>
        <v>0-7 days</v>
      </c>
      <c r="J5" s="69">
        <f t="shared" ref="J5:J36" si="0">IF($D5="","",$D5-30)</f>
        <v>46153</v>
      </c>
      <c r="K5" s="69">
        <f t="shared" ref="K5:K36" si="1">IF($D5="","",$D5-14)</f>
        <v>46169</v>
      </c>
      <c r="L5" s="69">
        <f t="shared" ref="L5:L36" si="2">IF($D5="","",$D5-7)</f>
        <v>46176</v>
      </c>
      <c r="M5" s="65" t="str">
        <f ca="1">IF($B5="","",IF($F5="Yes","Completed",IF($H5&lt;0,"Expired",IF(TODAY()&gt;=$L5,"3rd Reminder",IF(TODAY()&gt;=$K5,"2nd Reminder",IF(TODAY()&gt;=$J5,"1st Reminder","Not Yet"))))))</f>
        <v>3rd Reminder</v>
      </c>
      <c r="N5" s="26" t="str">
        <f ca="1">IF($B5="","",IF($F5="Yes","Completed",IF($H5&lt;0,"Expired",IF(OR($F5="Pending",$F5="No",$F5="On Hold",$F5="Escalate"),IF($M5="Not Yet","Scheduled","Action Required"),"Review"))))</f>
        <v>Action Required</v>
      </c>
      <c r="O5" s="27" t="str">
        <f ca="1">IF($B5="","",IF(AND($N5="Action Required",$F5&lt;&gt;"Yes"),"Yes","No"))</f>
        <v>Yes</v>
      </c>
      <c r="P5" s="34"/>
      <c r="Q5" s="30" t="str">
        <f ca="1">IF($B5="","",IF($O5="Yes","Ready for email batch","No email needed"))</f>
        <v>Ready for email batch</v>
      </c>
      <c r="R5" s="31" t="str">
        <f ca="1">IF($B5="","",IF($F5="Yes","Stop reminders",IF($N5="Expired","Review expired item",IF($O5="Yes","Send "&amp;$M5&amp;" email to "&amp;$E5,"Monitor"))))</f>
        <v>Send 3rd Reminder email to Ops Lead</v>
      </c>
    </row>
    <row r="6" spans="1:18" ht="19.2" customHeight="1">
      <c r="A6" s="20" t="s">
        <v>61</v>
      </c>
      <c r="B6" s="21" t="s">
        <v>62</v>
      </c>
      <c r="C6" s="72" t="s">
        <v>63</v>
      </c>
      <c r="D6" s="58">
        <v>46192</v>
      </c>
      <c r="E6" s="72" t="s">
        <v>27</v>
      </c>
      <c r="F6" s="72" t="s">
        <v>36</v>
      </c>
      <c r="G6" s="61" t="s">
        <v>64</v>
      </c>
      <c r="H6" s="63">
        <f ca="1">IF($B6="","",$D6-TODAY())</f>
        <v>12</v>
      </c>
      <c r="I6" s="55" t="str">
        <f ca="1">IF($B6="","",IF($H6&lt;0,"Expired",IF($H6&lt;=7,"0-7 days",IF($H6&lt;=14,"8-14 days",IF($H6&lt;=30,"15-30 days","30+ days")))))</f>
        <v>8-14 days</v>
      </c>
      <c r="J6" s="69">
        <f t="shared" si="0"/>
        <v>46162</v>
      </c>
      <c r="K6" s="69">
        <f t="shared" si="1"/>
        <v>46178</v>
      </c>
      <c r="L6" s="69">
        <f t="shared" si="2"/>
        <v>46185</v>
      </c>
      <c r="M6" s="65" t="str">
        <f ca="1">IF($B6="","",IF($F6="Yes","Completed",IF($H6&lt;0,"Expired",IF(TODAY()&gt;=$L6,"3rd Reminder",IF(TODAY()&gt;=$K6,"2nd Reminder",IF(TODAY()&gt;=$J6,"1st Reminder","Not Yet"))))))</f>
        <v>2nd Reminder</v>
      </c>
      <c r="N6" s="26" t="str">
        <f ca="1">IF($B6="","",IF($F6="Yes","Completed",IF($H6&lt;0,"Expired",IF(OR($F6="Pending",$F6="No",$F6="On Hold",$F6="Escalate"),IF($M6="Not Yet","Scheduled","Action Required"),"Review"))))</f>
        <v>Action Required</v>
      </c>
      <c r="O6" s="27" t="str">
        <f ca="1">IF($B6="","",IF(AND($N6="Action Required",$F6&lt;&gt;"Yes"),"Yes","No"))</f>
        <v>Yes</v>
      </c>
      <c r="P6" s="67">
        <v>46176</v>
      </c>
      <c r="Q6" s="30" t="str">
        <f ca="1">IF($B6="","",IF($O6="Yes","Ready for email batch","No email needed"))</f>
        <v>Ready for email batch</v>
      </c>
      <c r="R6" s="31" t="str">
        <f ca="1">IF($B6="","",IF($F6="Yes","Stop reminders",IF($N6="Expired","Review expired item",IF($O6="Yes","Send "&amp;$M6&amp;" email to "&amp;$E6,"Monitor"))))</f>
        <v>Send 2nd Reminder email to Inv Ctrl</v>
      </c>
    </row>
    <row r="7" spans="1:18" ht="19.2" customHeight="1">
      <c r="A7" s="20" t="s">
        <v>65</v>
      </c>
      <c r="B7" s="21" t="s">
        <v>66</v>
      </c>
      <c r="C7" s="72" t="s">
        <v>67</v>
      </c>
      <c r="D7" s="58">
        <v>46208</v>
      </c>
      <c r="E7" s="72" t="s">
        <v>27</v>
      </c>
      <c r="F7" s="72" t="s">
        <v>34</v>
      </c>
      <c r="G7" s="61" t="s">
        <v>68</v>
      </c>
      <c r="H7" s="63">
        <f ca="1">IF($B7="","",$D7-TODAY())</f>
        <v>28</v>
      </c>
      <c r="I7" s="55" t="str">
        <f ca="1">IF($B7="","",IF($H7&lt;0,"Expired",IF($H7&lt;=7,"0-7 days",IF($H7&lt;=14,"8-14 days",IF($H7&lt;=30,"15-30 days","30+ days")))))</f>
        <v>15-30 days</v>
      </c>
      <c r="J7" s="69">
        <f t="shared" si="0"/>
        <v>46178</v>
      </c>
      <c r="K7" s="69">
        <f t="shared" si="1"/>
        <v>46194</v>
      </c>
      <c r="L7" s="69">
        <f t="shared" si="2"/>
        <v>46201</v>
      </c>
      <c r="M7" s="65" t="str">
        <f ca="1">IF($B7="","",IF($F7="Yes","Completed",IF($H7&lt;0,"Expired",IF(TODAY()&gt;=$L7,"3rd Reminder",IF(TODAY()&gt;=$K7,"2nd Reminder",IF(TODAY()&gt;=$J7,"1st Reminder","Not Yet"))))))</f>
        <v>Completed</v>
      </c>
      <c r="N7" s="26" t="str">
        <f>IF($B7="","",IF($F7="Yes","Completed",IF($H7&lt;0,"Expired",IF(OR($F7="Pending",$F7="No",$F7="On Hold",$F7="Escalate"),IF($M7="Not Yet","Scheduled","Action Required"),"Review"))))</f>
        <v>Completed</v>
      </c>
      <c r="O7" s="27" t="str">
        <f>IF($B7="","",IF(AND($N7="Action Required",$F7&lt;&gt;"Yes"),"Yes","No"))</f>
        <v>No</v>
      </c>
      <c r="P7" s="67">
        <v>46177</v>
      </c>
      <c r="Q7" s="30" t="str">
        <f>IF($B7="","",IF($O7="Yes","Ready for email batch","No email needed"))</f>
        <v>No email needed</v>
      </c>
      <c r="R7" s="31" t="str">
        <f>IF($B7="","",IF($F7="Yes","Stop reminders",IF($N7="Expired","Review expired item",IF($O7="Yes","Send "&amp;$M7&amp;" email to "&amp;$E7,"Monitor"))))</f>
        <v>Stop reminders</v>
      </c>
    </row>
    <row r="8" spans="1:18" ht="19.2" customHeight="1">
      <c r="A8" s="20" t="s">
        <v>69</v>
      </c>
      <c r="B8" s="21" t="s">
        <v>70</v>
      </c>
      <c r="C8" s="72" t="s">
        <v>71</v>
      </c>
      <c r="D8" s="58">
        <v>46178</v>
      </c>
      <c r="E8" s="72" t="s">
        <v>27</v>
      </c>
      <c r="F8" s="72" t="s">
        <v>33</v>
      </c>
      <c r="G8" s="61" t="s">
        <v>72</v>
      </c>
      <c r="H8" s="63">
        <f ca="1">IF($B8="","",$D8-TODAY())</f>
        <v>-2</v>
      </c>
      <c r="I8" s="55" t="str">
        <f ca="1">IF($B8="","",IF($H8&lt;0,"Expired",IF($H8&lt;=7,"0-7 days",IF($H8&lt;=14,"8-14 days",IF($H8&lt;=30,"15-30 days","30+ days")))))</f>
        <v>Expired</v>
      </c>
      <c r="J8" s="69">
        <f t="shared" si="0"/>
        <v>46148</v>
      </c>
      <c r="K8" s="69">
        <f t="shared" si="1"/>
        <v>46164</v>
      </c>
      <c r="L8" s="69">
        <f t="shared" si="2"/>
        <v>46171</v>
      </c>
      <c r="M8" s="65" t="str">
        <f ca="1">IF($B8="","",IF($F8="Yes","Completed",IF($H8&lt;0,"Expired",IF(TODAY()&gt;=$L8,"3rd Reminder",IF(TODAY()&gt;=$K8,"2nd Reminder",IF(TODAY()&gt;=$J8,"1st Reminder","Not Yet"))))))</f>
        <v>Expired</v>
      </c>
      <c r="N8" s="26" t="str">
        <f ca="1">IF($B8="","",IF($F8="Yes","Completed",IF($H8&lt;0,"Expired",IF(OR($F8="Pending",$F8="No",$F8="On Hold",$F8="Escalate"),IF($M8="Not Yet","Scheduled","Action Required"),"Review"))))</f>
        <v>Expired</v>
      </c>
      <c r="O8" s="27" t="str">
        <f ca="1">IF($B8="","",IF(AND($N8="Action Required",$F8&lt;&gt;"Yes"),"Yes","No"))</f>
        <v>No</v>
      </c>
      <c r="P8" s="67">
        <v>46179</v>
      </c>
      <c r="Q8" s="30" t="str">
        <f ca="1">IF($B8="","",IF($O8="Yes","Ready for email batch","No email needed"))</f>
        <v>No email needed</v>
      </c>
      <c r="R8" s="31" t="str">
        <f ca="1">IF($B8="","",IF($F8="Yes","Stop reminders",IF($N8="Expired","Review expired item",IF($O8="Yes","Send "&amp;$M8&amp;" email to "&amp;$E8,"Monitor"))))</f>
        <v>Review expired item</v>
      </c>
    </row>
    <row r="9" spans="1:18" ht="19.2" customHeight="1">
      <c r="A9" s="20" t="s">
        <v>73</v>
      </c>
      <c r="B9" s="21" t="s">
        <v>74</v>
      </c>
      <c r="C9" s="72" t="s">
        <v>59</v>
      </c>
      <c r="D9" s="58">
        <v>46235</v>
      </c>
      <c r="E9" s="72" t="s">
        <v>14</v>
      </c>
      <c r="F9" s="72" t="s">
        <v>33</v>
      </c>
      <c r="G9" s="61" t="s">
        <v>75</v>
      </c>
      <c r="H9" s="63">
        <f ca="1">IF($B9="","",$D9-TODAY())</f>
        <v>55</v>
      </c>
      <c r="I9" s="55" t="str">
        <f ca="1">IF($B9="","",IF($H9&lt;0,"Expired",IF($H9&lt;=7,"0-7 days",IF($H9&lt;=14,"8-14 days",IF($H9&lt;=30,"15-30 days","30+ days")))))</f>
        <v>30+ days</v>
      </c>
      <c r="J9" s="69">
        <f t="shared" si="0"/>
        <v>46205</v>
      </c>
      <c r="K9" s="69">
        <f t="shared" si="1"/>
        <v>46221</v>
      </c>
      <c r="L9" s="69">
        <f t="shared" si="2"/>
        <v>46228</v>
      </c>
      <c r="M9" s="65" t="str">
        <f ca="1">IF($B9="","",IF($F9="Yes","Completed",IF($H9&lt;0,"Expired",IF(TODAY()&gt;=$L9,"3rd Reminder",IF(TODAY()&gt;=$K9,"2nd Reminder",IF(TODAY()&gt;=$J9,"1st Reminder","Not Yet"))))))</f>
        <v>Not Yet</v>
      </c>
      <c r="N9" s="26" t="str">
        <f ca="1">IF($B9="","",IF($F9="Yes","Completed",IF($H9&lt;0,"Expired",IF(OR($F9="Pending",$F9="No",$F9="On Hold",$F9="Escalate"),IF($M9="Not Yet","Scheduled","Action Required"),"Review"))))</f>
        <v>Scheduled</v>
      </c>
      <c r="O9" s="27" t="str">
        <f ca="1">IF($B9="","",IF(AND($N9="Action Required",$F9&lt;&gt;"Yes"),"Yes","No"))</f>
        <v>No</v>
      </c>
      <c r="P9" s="67"/>
      <c r="Q9" s="30" t="str">
        <f ca="1">IF($B9="","",IF($O9="Yes","Ready for email batch","No email needed"))</f>
        <v>No email needed</v>
      </c>
      <c r="R9" s="31" t="str">
        <f ca="1">IF($B9="","",IF($F9="Yes","Stop reminders",IF($N9="Expired","Review expired item",IF($O9="Yes","Send "&amp;$M9&amp;" email to "&amp;$E9,"Monitor"))))</f>
        <v>Monitor</v>
      </c>
    </row>
    <row r="10" spans="1:18" ht="19.2" customHeight="1">
      <c r="A10" s="20" t="s">
        <v>76</v>
      </c>
      <c r="B10" s="21" t="s">
        <v>77</v>
      </c>
      <c r="C10" s="72" t="s">
        <v>63</v>
      </c>
      <c r="D10" s="58">
        <v>46187</v>
      </c>
      <c r="E10" s="72" t="s">
        <v>26</v>
      </c>
      <c r="F10" s="72" t="s">
        <v>33</v>
      </c>
      <c r="G10" s="61" t="s">
        <v>78</v>
      </c>
      <c r="H10" s="63">
        <f ca="1">IF($B10="","",$D10-TODAY())</f>
        <v>7</v>
      </c>
      <c r="I10" s="55" t="str">
        <f ca="1">IF($B10="","",IF($H10&lt;0,"Expired",IF($H10&lt;=7,"0-7 days",IF($H10&lt;=14,"8-14 days",IF($H10&lt;=30,"15-30 days","30+ days")))))</f>
        <v>0-7 days</v>
      </c>
      <c r="J10" s="69">
        <f t="shared" si="0"/>
        <v>46157</v>
      </c>
      <c r="K10" s="69">
        <f t="shared" si="1"/>
        <v>46173</v>
      </c>
      <c r="L10" s="69">
        <f t="shared" si="2"/>
        <v>46180</v>
      </c>
      <c r="M10" s="65" t="str">
        <f ca="1">IF($B10="","",IF($F10="Yes","Completed",IF($H10&lt;0,"Expired",IF(TODAY()&gt;=$L10,"3rd Reminder",IF(TODAY()&gt;=$K10,"2nd Reminder",IF(TODAY()&gt;=$J10,"1st Reminder","Not Yet"))))))</f>
        <v>3rd Reminder</v>
      </c>
      <c r="N10" s="26" t="str">
        <f ca="1">IF($B10="","",IF($F10="Yes","Completed",IF($H10&lt;0,"Expired",IF(OR($F10="Pending",$F10="No",$F10="On Hold",$F10="Escalate"),IF($M10="Not Yet","Scheduled","Action Required"),"Review"))))</f>
        <v>Action Required</v>
      </c>
      <c r="O10" s="27" t="str">
        <f ca="1">IF($B10="","",IF(AND($N10="Action Required",$F10&lt;&gt;"Yes"),"Yes","No"))</f>
        <v>Yes</v>
      </c>
      <c r="P10" s="67">
        <v>46178</v>
      </c>
      <c r="Q10" s="30" t="str">
        <f ca="1">IF($B10="","",IF($O10="Yes","Ready for email batch","No email needed"))</f>
        <v>Ready for email batch</v>
      </c>
      <c r="R10" s="31" t="str">
        <f ca="1">IF($B10="","",IF($F10="Yes","Stop reminders",IF($N10="Expired","Review expired item",IF($O10="Yes","Send "&amp;$M10&amp;" email to "&amp;$E10,"Monitor"))))</f>
        <v>Send 3rd Reminder email to QA Mgr</v>
      </c>
    </row>
    <row r="11" spans="1:18" ht="19.2" customHeight="1">
      <c r="A11" s="20" t="s">
        <v>79</v>
      </c>
      <c r="B11" s="21" t="s">
        <v>80</v>
      </c>
      <c r="C11" s="72" t="s">
        <v>67</v>
      </c>
      <c r="D11" s="58">
        <v>46175</v>
      </c>
      <c r="E11" s="72" t="s">
        <v>23</v>
      </c>
      <c r="F11" s="72" t="s">
        <v>36</v>
      </c>
      <c r="G11" s="61" t="s">
        <v>81</v>
      </c>
      <c r="H11" s="63">
        <f ca="1">IF($B11="","",$D11-TODAY())</f>
        <v>-5</v>
      </c>
      <c r="I11" s="55" t="str">
        <f ca="1">IF($B11="","",IF($H11&lt;0,"Expired",IF($H11&lt;=7,"0-7 days",IF($H11&lt;=14,"8-14 days",IF($H11&lt;=30,"15-30 days","30+ days")))))</f>
        <v>Expired</v>
      </c>
      <c r="J11" s="69">
        <f t="shared" si="0"/>
        <v>46145</v>
      </c>
      <c r="K11" s="69">
        <f t="shared" si="1"/>
        <v>46161</v>
      </c>
      <c r="L11" s="69">
        <f t="shared" si="2"/>
        <v>46168</v>
      </c>
      <c r="M11" s="65" t="str">
        <f ca="1">IF($B11="","",IF($F11="Yes","Completed",IF($H11&lt;0,"Expired",IF(TODAY()&gt;=$L11,"3rd Reminder",IF(TODAY()&gt;=$K11,"2nd Reminder",IF(TODAY()&gt;=$J11,"1st Reminder","Not Yet"))))))</f>
        <v>Expired</v>
      </c>
      <c r="N11" s="26" t="str">
        <f ca="1">IF($B11="","",IF($F11="Yes","Completed",IF($H11&lt;0,"Expired",IF(OR($F11="Pending",$F11="No",$F11="On Hold",$F11="Escalate"),IF($M11="Not Yet","Scheduled","Action Required"),"Review"))))</f>
        <v>Expired</v>
      </c>
      <c r="O11" s="27" t="str">
        <f ca="1">IF($B11="","",IF(AND($N11="Action Required",$F11&lt;&gt;"Yes"),"Yes","No"))</f>
        <v>No</v>
      </c>
      <c r="P11" s="67">
        <v>46176</v>
      </c>
      <c r="Q11" s="30" t="str">
        <f ca="1">IF($B11="","",IF($O11="Yes","Ready for email batch","No email needed"))</f>
        <v>No email needed</v>
      </c>
      <c r="R11" s="31" t="str">
        <f ca="1">IF($B11="","",IF($F11="Yes","Stop reminders",IF($N11="Expired","Review expired item",IF($O11="Yes","Send "&amp;$M11&amp;" email to "&amp;$E11,"Monitor"))))</f>
        <v>Review expired item</v>
      </c>
    </row>
    <row r="12" spans="1:18" ht="19.2" customHeight="1">
      <c r="A12" s="20" t="s">
        <v>82</v>
      </c>
      <c r="B12" s="21" t="s">
        <v>83</v>
      </c>
      <c r="C12" s="72" t="s">
        <v>71</v>
      </c>
      <c r="D12" s="58">
        <v>46223</v>
      </c>
      <c r="E12" s="72" t="s">
        <v>26</v>
      </c>
      <c r="F12" s="72" t="s">
        <v>33</v>
      </c>
      <c r="G12" s="61" t="s">
        <v>84</v>
      </c>
      <c r="H12" s="63">
        <f ca="1">IF($B12="","",$D12-TODAY())</f>
        <v>43</v>
      </c>
      <c r="I12" s="55" t="str">
        <f ca="1">IF($B12="","",IF($H12&lt;0,"Expired",IF($H12&lt;=7,"0-7 days",IF($H12&lt;=14,"8-14 days",IF($H12&lt;=30,"15-30 days","30+ days")))))</f>
        <v>30+ days</v>
      </c>
      <c r="J12" s="69">
        <f t="shared" si="0"/>
        <v>46193</v>
      </c>
      <c r="K12" s="69">
        <f t="shared" si="1"/>
        <v>46209</v>
      </c>
      <c r="L12" s="69">
        <f t="shared" si="2"/>
        <v>46216</v>
      </c>
      <c r="M12" s="65" t="str">
        <f ca="1">IF($B12="","",IF($F12="Yes","Completed",IF($H12&lt;0,"Expired",IF(TODAY()&gt;=$L12,"3rd Reminder",IF(TODAY()&gt;=$K12,"2nd Reminder",IF(TODAY()&gt;=$J12,"1st Reminder","Not Yet"))))))</f>
        <v>Not Yet</v>
      </c>
      <c r="N12" s="26" t="str">
        <f ca="1">IF($B12="","",IF($F12="Yes","Completed",IF($H12&lt;0,"Expired",IF(OR($F12="Pending",$F12="No",$F12="On Hold",$F12="Escalate"),IF($M12="Not Yet","Scheduled","Action Required"),"Review"))))</f>
        <v>Scheduled</v>
      </c>
      <c r="O12" s="27" t="str">
        <f ca="1">IF($B12="","",IF(AND($N12="Action Required",$F12&lt;&gt;"Yes"),"Yes","No"))</f>
        <v>No</v>
      </c>
      <c r="P12" s="67"/>
      <c r="Q12" s="30" t="str">
        <f ca="1">IF($B12="","",IF($O12="Yes","Ready for email batch","No email needed"))</f>
        <v>No email needed</v>
      </c>
      <c r="R12" s="31" t="str">
        <f ca="1">IF($B12="","",IF($F12="Yes","Stop reminders",IF($N12="Expired","Review expired item",IF($O12="Yes","Send "&amp;$M12&amp;" email to "&amp;$E12,"Monitor"))))</f>
        <v>Monitor</v>
      </c>
    </row>
    <row r="13" spans="1:18" ht="19.2" customHeight="1">
      <c r="A13" s="20" t="s">
        <v>85</v>
      </c>
      <c r="B13" s="21" t="s">
        <v>86</v>
      </c>
      <c r="C13" s="72" t="s">
        <v>87</v>
      </c>
      <c r="D13" s="58">
        <v>46194</v>
      </c>
      <c r="E13" s="72" t="s">
        <v>23</v>
      </c>
      <c r="F13" s="72" t="s">
        <v>33</v>
      </c>
      <c r="G13" s="61" t="s">
        <v>88</v>
      </c>
      <c r="H13" s="63">
        <f ca="1">IF($B13="","",$D13-TODAY())</f>
        <v>14</v>
      </c>
      <c r="I13" s="55" t="str">
        <f ca="1">IF($B13="","",IF($H13&lt;0,"Expired",IF($H13&lt;=7,"0-7 days",IF($H13&lt;=14,"8-14 days",IF($H13&lt;=30,"15-30 days","30+ days")))))</f>
        <v>8-14 days</v>
      </c>
      <c r="J13" s="69">
        <f t="shared" si="0"/>
        <v>46164</v>
      </c>
      <c r="K13" s="69">
        <f t="shared" si="1"/>
        <v>46180</v>
      </c>
      <c r="L13" s="69">
        <f t="shared" si="2"/>
        <v>46187</v>
      </c>
      <c r="M13" s="65" t="str">
        <f ca="1">IF($B13="","",IF($F13="Yes","Completed",IF($H13&lt;0,"Expired",IF(TODAY()&gt;=$L13,"3rd Reminder",IF(TODAY()&gt;=$K13,"2nd Reminder",IF(TODAY()&gt;=$J13,"1st Reminder","Not Yet"))))))</f>
        <v>2nd Reminder</v>
      </c>
      <c r="N13" s="26" t="str">
        <f ca="1">IF($B13="","",IF($F13="Yes","Completed",IF($H13&lt;0,"Expired",IF(OR($F13="Pending",$F13="No",$F13="On Hold",$F13="Escalate"),IF($M13="Not Yet","Scheduled","Action Required"),"Review"))))</f>
        <v>Action Required</v>
      </c>
      <c r="O13" s="27" t="str">
        <f ca="1">IF($B13="","",IF(AND($N13="Action Required",$F13&lt;&gt;"Yes"),"Yes","No"))</f>
        <v>Yes</v>
      </c>
      <c r="P13" s="67">
        <v>46177</v>
      </c>
      <c r="Q13" s="30" t="str">
        <f ca="1">IF($B13="","",IF($O13="Yes","Ready for email batch","No email needed"))</f>
        <v>Ready for email batch</v>
      </c>
      <c r="R13" s="31" t="str">
        <f ca="1">IF($B13="","",IF($F13="Yes","Stop reminders",IF($N13="Expired","Review expired item",IF($O13="Yes","Send "&amp;$M13&amp;" email to "&amp;$E13,"Monitor"))))</f>
        <v>Send 2nd Reminder email to Proc Lead</v>
      </c>
    </row>
    <row r="14" spans="1:18" ht="19.2" customHeight="1">
      <c r="A14" s="20" t="s">
        <v>89</v>
      </c>
      <c r="B14" s="21" t="s">
        <v>90</v>
      </c>
      <c r="C14" s="72" t="s">
        <v>91</v>
      </c>
      <c r="D14" s="58">
        <v>46203</v>
      </c>
      <c r="E14" s="72" t="s">
        <v>17</v>
      </c>
      <c r="F14" s="72" t="s">
        <v>37</v>
      </c>
      <c r="G14" s="61" t="s">
        <v>92</v>
      </c>
      <c r="H14" s="63">
        <f ca="1">IF($B14="","",$D14-TODAY())</f>
        <v>23</v>
      </c>
      <c r="I14" s="55" t="str">
        <f ca="1">IF($B14="","",IF($H14&lt;0,"Expired",IF($H14&lt;=7,"0-7 days",IF($H14&lt;=14,"8-14 days",IF($H14&lt;=30,"15-30 days","30+ days")))))</f>
        <v>15-30 days</v>
      </c>
      <c r="J14" s="69">
        <f t="shared" si="0"/>
        <v>46173</v>
      </c>
      <c r="K14" s="69">
        <f t="shared" si="1"/>
        <v>46189</v>
      </c>
      <c r="L14" s="69">
        <f t="shared" si="2"/>
        <v>46196</v>
      </c>
      <c r="M14" s="65" t="str">
        <f ca="1">IF($B14="","",IF($F14="Yes","Completed",IF($H14&lt;0,"Expired",IF(TODAY()&gt;=$L14,"3rd Reminder",IF(TODAY()&gt;=$K14,"2nd Reminder",IF(TODAY()&gt;=$J14,"1st Reminder","Not Yet"))))))</f>
        <v>1st Reminder</v>
      </c>
      <c r="N14" s="26" t="str">
        <f ca="1">IF($B14="","",IF($F14="Yes","Completed",IF($H14&lt;0,"Expired",IF(OR($F14="Pending",$F14="No",$F14="On Hold",$F14="Escalate"),IF($M14="Not Yet","Scheduled","Action Required"),"Review"))))</f>
        <v>Action Required</v>
      </c>
      <c r="O14" s="27" t="str">
        <f ca="1">IF($B14="","",IF(AND($N14="Action Required",$F14&lt;&gt;"Yes"),"Yes","No"))</f>
        <v>Yes</v>
      </c>
      <c r="P14" s="67"/>
      <c r="Q14" s="30" t="str">
        <f ca="1">IF($B14="","",IF($O14="Yes","Ready for email batch","No email needed"))</f>
        <v>Ready for email batch</v>
      </c>
      <c r="R14" s="31" t="str">
        <f ca="1">IF($B14="","",IF($F14="Yes","Stop reminders",IF($N14="Expired","Review expired item",IF($O14="Yes","Send "&amp;$M14&amp;" email to "&amp;$E14,"Monitor"))))</f>
        <v>Send 1st Reminder email to Ops Manager</v>
      </c>
    </row>
    <row r="15" spans="1:18" ht="19.2" customHeight="1" thickBot="1">
      <c r="A15" s="22" t="s">
        <v>93</v>
      </c>
      <c r="B15" s="23" t="s">
        <v>94</v>
      </c>
      <c r="C15" s="73" t="s">
        <v>95</v>
      </c>
      <c r="D15" s="59">
        <v>46182</v>
      </c>
      <c r="E15" s="73" t="s">
        <v>20</v>
      </c>
      <c r="F15" s="73" t="s">
        <v>38</v>
      </c>
      <c r="G15" s="62" t="s">
        <v>96</v>
      </c>
      <c r="H15" s="64">
        <f ca="1">IF($B15="","",$D15-TODAY())</f>
        <v>2</v>
      </c>
      <c r="I15" s="56" t="str">
        <f ca="1">IF($B15="","",IF($H15&lt;0,"Expired",IF($H15&lt;=7,"0-7 days",IF($H15&lt;=14,"8-14 days",IF($H15&lt;=30,"15-30 days","30+ days")))))</f>
        <v>0-7 days</v>
      </c>
      <c r="J15" s="70">
        <f t="shared" si="0"/>
        <v>46152</v>
      </c>
      <c r="K15" s="70">
        <f t="shared" si="1"/>
        <v>46168</v>
      </c>
      <c r="L15" s="70">
        <f t="shared" si="2"/>
        <v>46175</v>
      </c>
      <c r="M15" s="66" t="str">
        <f ca="1">IF($B15="","",IF($F15="Yes","Completed",IF($H15&lt;0,"Expired",IF(TODAY()&gt;=$L15,"3rd Reminder",IF(TODAY()&gt;=$K15,"2nd Reminder",IF(TODAY()&gt;=$J15,"1st Reminder","Not Yet"))))))</f>
        <v>3rd Reminder</v>
      </c>
      <c r="N15" s="28" t="str">
        <f ca="1">IF($B15="","",IF($F15="Yes","Completed",IF($H15&lt;0,"Expired",IF(OR($F15="Pending",$F15="No",$F15="On Hold",$F15="Escalate"),IF($M15="Not Yet","Scheduled","Action Required"),"Review"))))</f>
        <v>Action Required</v>
      </c>
      <c r="O15" s="29" t="str">
        <f ca="1">IF($B15="","",IF(AND($N15="Action Required",$F15&lt;&gt;"Yes"),"Yes","No"))</f>
        <v>Yes</v>
      </c>
      <c r="P15" s="68">
        <v>46179</v>
      </c>
      <c r="Q15" s="32" t="str">
        <f ca="1">IF($B15="","",IF($O15="Yes","Ready for email batch","No email needed"))</f>
        <v>Ready for email batch</v>
      </c>
      <c r="R15" s="33" t="str">
        <f ca="1">IF($B15="","",IF($F15="Yes","Stop reminders",IF($N15="Expired","Review expired item",IF($O15="Yes","Send "&amp;$M15&amp;" email to "&amp;$E15,"Monitor"))))</f>
        <v>Send 3rd Reminder email to GM</v>
      </c>
    </row>
    <row r="16" spans="1:18" ht="12" customHeight="1">
      <c r="A16" s="19"/>
      <c r="B16" s="19"/>
      <c r="C16" s="19"/>
      <c r="D16" s="19"/>
      <c r="E16" s="19"/>
      <c r="F16" s="19"/>
      <c r="G16" s="19"/>
      <c r="H16" s="19" t="str">
        <f ca="1">IF($B16="","",$D16-TODAY())</f>
        <v/>
      </c>
      <c r="I16" s="19" t="str">
        <f>IF($B16="","",IF($H16&lt;0,"Expired",IF($H16&lt;=7,"0-7 days",IF($H16&lt;=14,"8-14 days",IF($H16&lt;=30,"15-30 days","30+ days")))))</f>
        <v/>
      </c>
      <c r="J16" s="19" t="str">
        <f t="shared" si="0"/>
        <v/>
      </c>
      <c r="K16" s="19" t="str">
        <f t="shared" si="1"/>
        <v/>
      </c>
      <c r="L16" s="19" t="str">
        <f t="shared" si="2"/>
        <v/>
      </c>
      <c r="M16" s="19" t="str">
        <f ca="1">IF($B16="","",IF($F16="Yes","Completed",IF($H16&lt;0,"Expired",IF(TODAY()&gt;=$L16,"3rd Reminder",IF(TODAY()&gt;=$K16,"2nd Reminder",IF(TODAY()&gt;=$J16,"1st Reminder","Not Yet"))))))</f>
        <v/>
      </c>
      <c r="N16" s="19" t="str">
        <f>IF($B16="","",IF($F16="Yes","Completed",IF($H16&lt;0,"Expired",IF(OR($F16="Pending",$F16="No",$F16="On Hold",$F16="Escalate"),IF($M16="Not Yet","Scheduled","Action Required"),"Review"))))</f>
        <v/>
      </c>
      <c r="O16" s="19" t="str">
        <f>IF($B16="","",IF(AND($N16="Action Required",$F16&lt;&gt;"Yes"),"Yes","No"))</f>
        <v/>
      </c>
      <c r="P16" s="19"/>
      <c r="Q16" s="19" t="str">
        <f>IF($B16="","",IF($O16="Yes","Ready for email batch","No email needed"))</f>
        <v/>
      </c>
      <c r="R16" s="19" t="str">
        <f>IF($B16="","",IF($F16="Yes","Stop reminders",IF($N16="Expired","Review expired item",IF($O16="Yes","Send "&amp;$M16&amp;" email to "&amp;$E16,"Monitor"))))</f>
        <v/>
      </c>
    </row>
    <row r="17" spans="1:18" ht="12" customHeight="1">
      <c r="A17" s="19"/>
      <c r="B17" s="19"/>
      <c r="C17" s="19"/>
      <c r="D17" s="19"/>
      <c r="E17" s="19"/>
      <c r="F17" s="19"/>
      <c r="G17" s="19"/>
      <c r="H17" s="19" t="str">
        <f ca="1">IF($B17="","",$D17-TODAY())</f>
        <v/>
      </c>
      <c r="I17" s="19" t="str">
        <f>IF($B17="","",IF($H17&lt;0,"Expired",IF($H17&lt;=7,"0-7 days",IF($H17&lt;=14,"8-14 days",IF($H17&lt;=30,"15-30 days","30+ days")))))</f>
        <v/>
      </c>
      <c r="J17" s="19" t="str">
        <f t="shared" si="0"/>
        <v/>
      </c>
      <c r="K17" s="19" t="str">
        <f t="shared" si="1"/>
        <v/>
      </c>
      <c r="L17" s="19" t="str">
        <f t="shared" si="2"/>
        <v/>
      </c>
      <c r="M17" s="19" t="str">
        <f ca="1">IF($B17="","",IF($F17="Yes","Completed",IF($H17&lt;0,"Expired",IF(TODAY()&gt;=$L17,"3rd Reminder",IF(TODAY()&gt;=$K17,"2nd Reminder",IF(TODAY()&gt;=$J17,"1st Reminder","Not Yet"))))))</f>
        <v/>
      </c>
      <c r="N17" s="19" t="str">
        <f>IF($B17="","",IF($F17="Yes","Completed",IF($H17&lt;0,"Expired",IF(OR($F17="Pending",$F17="No",$F17="On Hold",$F17="Escalate"),IF($M17="Not Yet","Scheduled","Action Required"),"Review"))))</f>
        <v/>
      </c>
      <c r="O17" s="19" t="str">
        <f>IF($B17="","",IF(AND($N17="Action Required",$F17&lt;&gt;"Yes"),"Yes","No"))</f>
        <v/>
      </c>
      <c r="P17" s="19"/>
      <c r="Q17" s="19" t="str">
        <f>IF($B17="","",IF($O17="Yes","Ready for email batch","No email needed"))</f>
        <v/>
      </c>
      <c r="R17" s="19" t="str">
        <f>IF($B17="","",IF($F17="Yes","Stop reminders",IF($N17="Expired","Review expired item",IF($O17="Yes","Send "&amp;$M17&amp;" email to "&amp;$E17,"Monitor"))))</f>
        <v/>
      </c>
    </row>
    <row r="18" spans="1:18" ht="12" customHeight="1">
      <c r="A18" s="19"/>
      <c r="B18" s="19"/>
      <c r="C18" s="19"/>
      <c r="D18" s="19"/>
      <c r="E18" s="19"/>
      <c r="F18" s="19"/>
      <c r="G18" s="19"/>
      <c r="H18" s="19" t="str">
        <f ca="1">IF($B18="","",$D18-TODAY())</f>
        <v/>
      </c>
      <c r="I18" s="19" t="str">
        <f>IF($B18="","",IF($H18&lt;0,"Expired",IF($H18&lt;=7,"0-7 days",IF($H18&lt;=14,"8-14 days",IF($H18&lt;=30,"15-30 days","30+ days")))))</f>
        <v/>
      </c>
      <c r="J18" s="19" t="str">
        <f t="shared" si="0"/>
        <v/>
      </c>
      <c r="K18" s="19" t="str">
        <f t="shared" si="1"/>
        <v/>
      </c>
      <c r="L18" s="19" t="str">
        <f t="shared" si="2"/>
        <v/>
      </c>
      <c r="M18" s="19" t="str">
        <f ca="1">IF($B18="","",IF($F18="Yes","Completed",IF($H18&lt;0,"Expired",IF(TODAY()&gt;=$L18,"3rd Reminder",IF(TODAY()&gt;=$K18,"2nd Reminder",IF(TODAY()&gt;=$J18,"1st Reminder","Not Yet"))))))</f>
        <v/>
      </c>
      <c r="N18" s="19" t="str">
        <f>IF($B18="","",IF($F18="Yes","Completed",IF($H18&lt;0,"Expired",IF(OR($F18="Pending",$F18="No",$F18="On Hold",$F18="Escalate"),IF($M18="Not Yet","Scheduled","Action Required"),"Review"))))</f>
        <v/>
      </c>
      <c r="O18" s="19" t="str">
        <f>IF($B18="","",IF(AND($N18="Action Required",$F18&lt;&gt;"Yes"),"Yes","No"))</f>
        <v/>
      </c>
      <c r="P18" s="19"/>
      <c r="Q18" s="19" t="str">
        <f>IF($B18="","",IF($O18="Yes","Ready for email batch","No email needed"))</f>
        <v/>
      </c>
      <c r="R18" s="19" t="str">
        <f>IF($B18="","",IF($F18="Yes","Stop reminders",IF($N18="Expired","Review expired item",IF($O18="Yes","Send "&amp;$M18&amp;" email to "&amp;$E18,"Monitor"))))</f>
        <v/>
      </c>
    </row>
    <row r="19" spans="1:18" ht="12" customHeight="1">
      <c r="A19" s="19"/>
      <c r="B19" s="19"/>
      <c r="C19" s="19"/>
      <c r="D19" s="19"/>
      <c r="E19" s="19"/>
      <c r="F19" s="19"/>
      <c r="G19" s="19"/>
      <c r="H19" s="19" t="str">
        <f ca="1">IF($B19="","",$D19-TODAY())</f>
        <v/>
      </c>
      <c r="I19" s="19" t="str">
        <f>IF($B19="","",IF($H19&lt;0,"Expired",IF($H19&lt;=7,"0-7 days",IF($H19&lt;=14,"8-14 days",IF($H19&lt;=30,"15-30 days","30+ days")))))</f>
        <v/>
      </c>
      <c r="J19" s="19" t="str">
        <f t="shared" si="0"/>
        <v/>
      </c>
      <c r="K19" s="19" t="str">
        <f t="shared" si="1"/>
        <v/>
      </c>
      <c r="L19" s="19" t="str">
        <f t="shared" si="2"/>
        <v/>
      </c>
      <c r="M19" s="19" t="str">
        <f ca="1">IF($B19="","",IF($F19="Yes","Completed",IF($H19&lt;0,"Expired",IF(TODAY()&gt;=$L19,"3rd Reminder",IF(TODAY()&gt;=$K19,"2nd Reminder",IF(TODAY()&gt;=$J19,"1st Reminder","Not Yet"))))))</f>
        <v/>
      </c>
      <c r="N19" s="19" t="str">
        <f>IF($B19="","",IF($F19="Yes","Completed",IF($H19&lt;0,"Expired",IF(OR($F19="Pending",$F19="No",$F19="On Hold",$F19="Escalate"),IF($M19="Not Yet","Scheduled","Action Required"),"Review"))))</f>
        <v/>
      </c>
      <c r="O19" s="19" t="str">
        <f>IF($B19="","",IF(AND($N19="Action Required",$F19&lt;&gt;"Yes"),"Yes","No"))</f>
        <v/>
      </c>
      <c r="P19" s="19"/>
      <c r="Q19" s="19" t="str">
        <f>IF($B19="","",IF($O19="Yes","Ready for email batch","No email needed"))</f>
        <v/>
      </c>
      <c r="R19" s="19" t="str">
        <f>IF($B19="","",IF($F19="Yes","Stop reminders",IF($N19="Expired","Review expired item",IF($O19="Yes","Send "&amp;$M19&amp;" email to "&amp;$E19,"Monitor"))))</f>
        <v/>
      </c>
    </row>
    <row r="20" spans="1:18" ht="12" customHeight="1">
      <c r="A20" s="19"/>
      <c r="B20" s="19"/>
      <c r="C20" s="19"/>
      <c r="D20" s="19"/>
      <c r="E20" s="19"/>
      <c r="F20" s="19"/>
      <c r="G20" s="19"/>
      <c r="H20" s="19" t="str">
        <f ca="1">IF($B20="","",$D20-TODAY())</f>
        <v/>
      </c>
      <c r="I20" s="19" t="str">
        <f>IF($B20="","",IF($H20&lt;0,"Expired",IF($H20&lt;=7,"0-7 days",IF($H20&lt;=14,"8-14 days",IF($H20&lt;=30,"15-30 days","30+ days")))))</f>
        <v/>
      </c>
      <c r="J20" s="19" t="str">
        <f t="shared" si="0"/>
        <v/>
      </c>
      <c r="K20" s="19" t="str">
        <f t="shared" si="1"/>
        <v/>
      </c>
      <c r="L20" s="19" t="str">
        <f t="shared" si="2"/>
        <v/>
      </c>
      <c r="M20" s="19" t="str">
        <f ca="1">IF($B20="","",IF($F20="Yes","Completed",IF($H20&lt;0,"Expired",IF(TODAY()&gt;=$L20,"3rd Reminder",IF(TODAY()&gt;=$K20,"2nd Reminder",IF(TODAY()&gt;=$J20,"1st Reminder","Not Yet"))))))</f>
        <v/>
      </c>
      <c r="N20" s="19" t="str">
        <f>IF($B20="","",IF($F20="Yes","Completed",IF($H20&lt;0,"Expired",IF(OR($F20="Pending",$F20="No",$F20="On Hold",$F20="Escalate"),IF($M20="Not Yet","Scheduled","Action Required"),"Review"))))</f>
        <v/>
      </c>
      <c r="O20" s="19" t="str">
        <f>IF($B20="","",IF(AND($N20="Action Required",$F20&lt;&gt;"Yes"),"Yes","No"))</f>
        <v/>
      </c>
      <c r="P20" s="19"/>
      <c r="Q20" s="19" t="str">
        <f>IF($B20="","",IF($O20="Yes","Ready for email batch","No email needed"))</f>
        <v/>
      </c>
      <c r="R20" s="19" t="str">
        <f>IF($B20="","",IF($F20="Yes","Stop reminders",IF($N20="Expired","Review expired item",IF($O20="Yes","Send "&amp;$M20&amp;" email to "&amp;$E20,"Monitor"))))</f>
        <v/>
      </c>
    </row>
    <row r="21" spans="1:18" ht="12" customHeight="1">
      <c r="A21" s="19"/>
      <c r="B21" s="19"/>
      <c r="C21" s="19"/>
      <c r="D21" s="19"/>
      <c r="E21" s="19"/>
      <c r="F21" s="19"/>
      <c r="G21" s="19"/>
      <c r="H21" s="19" t="str">
        <f ca="1">IF($B21="","",$D21-TODAY())</f>
        <v/>
      </c>
      <c r="I21" s="19" t="str">
        <f>IF($B21="","",IF($H21&lt;0,"Expired",IF($H21&lt;=7,"0-7 days",IF($H21&lt;=14,"8-14 days",IF($H21&lt;=30,"15-30 days","30+ days")))))</f>
        <v/>
      </c>
      <c r="J21" s="19" t="str">
        <f t="shared" si="0"/>
        <v/>
      </c>
      <c r="K21" s="19" t="str">
        <f t="shared" si="1"/>
        <v/>
      </c>
      <c r="L21" s="19" t="str">
        <f t="shared" si="2"/>
        <v/>
      </c>
      <c r="M21" s="19" t="str">
        <f ca="1">IF($B21="","",IF($F21="Yes","Completed",IF($H21&lt;0,"Expired",IF(TODAY()&gt;=$L21,"3rd Reminder",IF(TODAY()&gt;=$K21,"2nd Reminder",IF(TODAY()&gt;=$J21,"1st Reminder","Not Yet"))))))</f>
        <v/>
      </c>
      <c r="N21" s="19" t="str">
        <f>IF($B21="","",IF($F21="Yes","Completed",IF($H21&lt;0,"Expired",IF(OR($F21="Pending",$F21="No",$F21="On Hold",$F21="Escalate"),IF($M21="Not Yet","Scheduled","Action Required"),"Review"))))</f>
        <v/>
      </c>
      <c r="O21" s="19" t="str">
        <f>IF($B21="","",IF(AND($N21="Action Required",$F21&lt;&gt;"Yes"),"Yes","No"))</f>
        <v/>
      </c>
      <c r="P21" s="19"/>
      <c r="Q21" s="19" t="str">
        <f>IF($B21="","",IF($O21="Yes","Ready for email batch","No email needed"))</f>
        <v/>
      </c>
      <c r="R21" s="19" t="str">
        <f>IF($B21="","",IF($F21="Yes","Stop reminders",IF($N21="Expired","Review expired item",IF($O21="Yes","Send "&amp;$M21&amp;" email to "&amp;$E21,"Monitor"))))</f>
        <v/>
      </c>
    </row>
    <row r="22" spans="1:18" ht="12" customHeight="1">
      <c r="A22" s="19"/>
      <c r="B22" s="19"/>
      <c r="C22" s="19"/>
      <c r="D22" s="19"/>
      <c r="E22" s="19"/>
      <c r="F22" s="19"/>
      <c r="G22" s="19"/>
      <c r="H22" s="19" t="str">
        <f ca="1">IF($B22="","",$D22-TODAY())</f>
        <v/>
      </c>
      <c r="I22" s="19" t="str">
        <f>IF($B22="","",IF($H22&lt;0,"Expired",IF($H22&lt;=7,"0-7 days",IF($H22&lt;=14,"8-14 days",IF($H22&lt;=30,"15-30 days","30+ days")))))</f>
        <v/>
      </c>
      <c r="J22" s="19" t="str">
        <f t="shared" si="0"/>
        <v/>
      </c>
      <c r="K22" s="19" t="str">
        <f t="shared" si="1"/>
        <v/>
      </c>
      <c r="L22" s="19" t="str">
        <f t="shared" si="2"/>
        <v/>
      </c>
      <c r="M22" s="19" t="str">
        <f ca="1">IF($B22="","",IF($F22="Yes","Completed",IF($H22&lt;0,"Expired",IF(TODAY()&gt;=$L22,"3rd Reminder",IF(TODAY()&gt;=$K22,"2nd Reminder",IF(TODAY()&gt;=$J22,"1st Reminder","Not Yet"))))))</f>
        <v/>
      </c>
      <c r="N22" s="19" t="str">
        <f>IF($B22="","",IF($F22="Yes","Completed",IF($H22&lt;0,"Expired",IF(OR($F22="Pending",$F22="No",$F22="On Hold",$F22="Escalate"),IF($M22="Not Yet","Scheduled","Action Required"),"Review"))))</f>
        <v/>
      </c>
      <c r="O22" s="19" t="str">
        <f>IF($B22="","",IF(AND($N22="Action Required",$F22&lt;&gt;"Yes"),"Yes","No"))</f>
        <v/>
      </c>
      <c r="P22" s="19"/>
      <c r="Q22" s="19" t="str">
        <f>IF($B22="","",IF($O22="Yes","Ready for email batch","No email needed"))</f>
        <v/>
      </c>
      <c r="R22" s="19" t="str">
        <f>IF($B22="","",IF($F22="Yes","Stop reminders",IF($N22="Expired","Review expired item",IF($O22="Yes","Send "&amp;$M22&amp;" email to "&amp;$E22,"Monitor"))))</f>
        <v/>
      </c>
    </row>
    <row r="23" spans="1:18" ht="12" customHeight="1">
      <c r="A23" s="19"/>
      <c r="B23" s="19"/>
      <c r="C23" s="19"/>
      <c r="D23" s="19"/>
      <c r="E23" s="19"/>
      <c r="F23" s="19"/>
      <c r="G23" s="19"/>
      <c r="H23" s="19" t="str">
        <f ca="1">IF($B23="","",$D23-TODAY())</f>
        <v/>
      </c>
      <c r="I23" s="19" t="str">
        <f>IF($B23="","",IF($H23&lt;0,"Expired",IF($H23&lt;=7,"0-7 days",IF($H23&lt;=14,"8-14 days",IF($H23&lt;=30,"15-30 days","30+ days")))))</f>
        <v/>
      </c>
      <c r="J23" s="19" t="str">
        <f t="shared" si="0"/>
        <v/>
      </c>
      <c r="K23" s="19" t="str">
        <f t="shared" si="1"/>
        <v/>
      </c>
      <c r="L23" s="19" t="str">
        <f t="shared" si="2"/>
        <v/>
      </c>
      <c r="M23" s="19" t="str">
        <f ca="1">IF($B23="","",IF($F23="Yes","Completed",IF($H23&lt;0,"Expired",IF(TODAY()&gt;=$L23,"3rd Reminder",IF(TODAY()&gt;=$K23,"2nd Reminder",IF(TODAY()&gt;=$J23,"1st Reminder","Not Yet"))))))</f>
        <v/>
      </c>
      <c r="N23" s="19" t="str">
        <f>IF($B23="","",IF($F23="Yes","Completed",IF($H23&lt;0,"Expired",IF(OR($F23="Pending",$F23="No",$F23="On Hold",$F23="Escalate"),IF($M23="Not Yet","Scheduled","Action Required"),"Review"))))</f>
        <v/>
      </c>
      <c r="O23" s="19" t="str">
        <f>IF($B23="","",IF(AND($N23="Action Required",$F23&lt;&gt;"Yes"),"Yes","No"))</f>
        <v/>
      </c>
      <c r="P23" s="19"/>
      <c r="Q23" s="19" t="str">
        <f>IF($B23="","",IF($O23="Yes","Ready for email batch","No email needed"))</f>
        <v/>
      </c>
      <c r="R23" s="19" t="str">
        <f>IF($B23="","",IF($F23="Yes","Stop reminders",IF($N23="Expired","Review expired item",IF($O23="Yes","Send "&amp;$M23&amp;" email to "&amp;$E23,"Monitor"))))</f>
        <v/>
      </c>
    </row>
    <row r="24" spans="1:18" ht="12" customHeight="1">
      <c r="A24" s="19"/>
      <c r="B24" s="19"/>
      <c r="C24" s="19"/>
      <c r="D24" s="19"/>
      <c r="E24" s="19"/>
      <c r="F24" s="19"/>
      <c r="G24" s="19"/>
      <c r="H24" s="19" t="str">
        <f ca="1">IF($B24="","",$D24-TODAY())</f>
        <v/>
      </c>
      <c r="I24" s="19" t="str">
        <f>IF($B24="","",IF($H24&lt;0,"Expired",IF($H24&lt;=7,"0-7 days",IF($H24&lt;=14,"8-14 days",IF($H24&lt;=30,"15-30 days","30+ days")))))</f>
        <v/>
      </c>
      <c r="J24" s="19" t="str">
        <f t="shared" si="0"/>
        <v/>
      </c>
      <c r="K24" s="19" t="str">
        <f t="shared" si="1"/>
        <v/>
      </c>
      <c r="L24" s="19" t="str">
        <f t="shared" si="2"/>
        <v/>
      </c>
      <c r="M24" s="19" t="str">
        <f ca="1">IF($B24="","",IF($F24="Yes","Completed",IF($H24&lt;0,"Expired",IF(TODAY()&gt;=$L24,"3rd Reminder",IF(TODAY()&gt;=$K24,"2nd Reminder",IF(TODAY()&gt;=$J24,"1st Reminder","Not Yet"))))))</f>
        <v/>
      </c>
      <c r="N24" s="19" t="str">
        <f>IF($B24="","",IF($F24="Yes","Completed",IF($H24&lt;0,"Expired",IF(OR($F24="Pending",$F24="No",$F24="On Hold",$F24="Escalate"),IF($M24="Not Yet","Scheduled","Action Required"),"Review"))))</f>
        <v/>
      </c>
      <c r="O24" s="19" t="str">
        <f>IF($B24="","",IF(AND($N24="Action Required",$F24&lt;&gt;"Yes"),"Yes","No"))</f>
        <v/>
      </c>
      <c r="P24" s="19"/>
      <c r="Q24" s="19" t="str">
        <f>IF($B24="","",IF($O24="Yes","Ready for email batch","No email needed"))</f>
        <v/>
      </c>
      <c r="R24" s="19" t="str">
        <f>IF($B24="","",IF($F24="Yes","Stop reminders",IF($N24="Expired","Review expired item",IF($O24="Yes","Send "&amp;$M24&amp;" email to "&amp;$E24,"Monitor"))))</f>
        <v/>
      </c>
    </row>
    <row r="25" spans="1:18" ht="12" customHeight="1">
      <c r="A25" s="19"/>
      <c r="B25" s="19"/>
      <c r="C25" s="19"/>
      <c r="D25" s="19"/>
      <c r="E25" s="19"/>
      <c r="F25" s="19"/>
      <c r="G25" s="19"/>
      <c r="H25" s="19" t="str">
        <f ca="1">IF($B25="","",$D25-TODAY())</f>
        <v/>
      </c>
      <c r="I25" s="19" t="str">
        <f>IF($B25="","",IF($H25&lt;0,"Expired",IF($H25&lt;=7,"0-7 days",IF($H25&lt;=14,"8-14 days",IF($H25&lt;=30,"15-30 days","30+ days")))))</f>
        <v/>
      </c>
      <c r="J25" s="19" t="str">
        <f t="shared" si="0"/>
        <v/>
      </c>
      <c r="K25" s="19" t="str">
        <f t="shared" si="1"/>
        <v/>
      </c>
      <c r="L25" s="19" t="str">
        <f t="shared" si="2"/>
        <v/>
      </c>
      <c r="M25" s="19" t="str">
        <f ca="1">IF($B25="","",IF($F25="Yes","Completed",IF($H25&lt;0,"Expired",IF(TODAY()&gt;=$L25,"3rd Reminder",IF(TODAY()&gt;=$K25,"2nd Reminder",IF(TODAY()&gt;=$J25,"1st Reminder","Not Yet"))))))</f>
        <v/>
      </c>
      <c r="N25" s="19" t="str">
        <f>IF($B25="","",IF($F25="Yes","Completed",IF($H25&lt;0,"Expired",IF(OR($F25="Pending",$F25="No",$F25="On Hold",$F25="Escalate"),IF($M25="Not Yet","Scheduled","Action Required"),"Review"))))</f>
        <v/>
      </c>
      <c r="O25" s="19" t="str">
        <f>IF($B25="","",IF(AND($N25="Action Required",$F25&lt;&gt;"Yes"),"Yes","No"))</f>
        <v/>
      </c>
      <c r="P25" s="19"/>
      <c r="Q25" s="19" t="str">
        <f>IF($B25="","",IF($O25="Yes","Ready for email batch","No email needed"))</f>
        <v/>
      </c>
      <c r="R25" s="19" t="str">
        <f>IF($B25="","",IF($F25="Yes","Stop reminders",IF($N25="Expired","Review expired item",IF($O25="Yes","Send "&amp;$M25&amp;" email to "&amp;$E25,"Monitor"))))</f>
        <v/>
      </c>
    </row>
    <row r="26" spans="1:18" ht="12" customHeight="1">
      <c r="A26" s="19"/>
      <c r="B26" s="19"/>
      <c r="C26" s="19"/>
      <c r="D26" s="19"/>
      <c r="E26" s="19"/>
      <c r="F26" s="19"/>
      <c r="G26" s="19"/>
      <c r="H26" s="19" t="str">
        <f ca="1">IF($B26="","",$D26-TODAY())</f>
        <v/>
      </c>
      <c r="I26" s="19" t="str">
        <f>IF($B26="","",IF($H26&lt;0,"Expired",IF($H26&lt;=7,"0-7 days",IF($H26&lt;=14,"8-14 days",IF($H26&lt;=30,"15-30 days","30+ days")))))</f>
        <v/>
      </c>
      <c r="J26" s="19" t="str">
        <f t="shared" si="0"/>
        <v/>
      </c>
      <c r="K26" s="19" t="str">
        <f t="shared" si="1"/>
        <v/>
      </c>
      <c r="L26" s="19" t="str">
        <f t="shared" si="2"/>
        <v/>
      </c>
      <c r="M26" s="19" t="str">
        <f ca="1">IF($B26="","",IF($F26="Yes","Completed",IF($H26&lt;0,"Expired",IF(TODAY()&gt;=$L26,"3rd Reminder",IF(TODAY()&gt;=$K26,"2nd Reminder",IF(TODAY()&gt;=$J26,"1st Reminder","Not Yet"))))))</f>
        <v/>
      </c>
      <c r="N26" s="19" t="str">
        <f>IF($B26="","",IF($F26="Yes","Completed",IF($H26&lt;0,"Expired",IF(OR($F26="Pending",$F26="No",$F26="On Hold",$F26="Escalate"),IF($M26="Not Yet","Scheduled","Action Required"),"Review"))))</f>
        <v/>
      </c>
      <c r="O26" s="19" t="str">
        <f>IF($B26="","",IF(AND($N26="Action Required",$F26&lt;&gt;"Yes"),"Yes","No"))</f>
        <v/>
      </c>
      <c r="P26" s="19"/>
      <c r="Q26" s="19" t="str">
        <f>IF($B26="","",IF($O26="Yes","Ready for email batch","No email needed"))</f>
        <v/>
      </c>
      <c r="R26" s="19" t="str">
        <f>IF($B26="","",IF($F26="Yes","Stop reminders",IF($N26="Expired","Review expired item",IF($O26="Yes","Send "&amp;$M26&amp;" email to "&amp;$E26,"Monitor"))))</f>
        <v/>
      </c>
    </row>
    <row r="27" spans="1:18" ht="12" customHeight="1">
      <c r="A27" s="19"/>
      <c r="B27" s="19"/>
      <c r="C27" s="19"/>
      <c r="D27" s="19"/>
      <c r="E27" s="19"/>
      <c r="F27" s="19"/>
      <c r="G27" s="19"/>
      <c r="H27" s="19" t="str">
        <f ca="1">IF($B27="","",$D27-TODAY())</f>
        <v/>
      </c>
      <c r="I27" s="19" t="str">
        <f>IF($B27="","",IF($H27&lt;0,"Expired",IF($H27&lt;=7,"0-7 days",IF($H27&lt;=14,"8-14 days",IF($H27&lt;=30,"15-30 days","30+ days")))))</f>
        <v/>
      </c>
      <c r="J27" s="19" t="str">
        <f t="shared" si="0"/>
        <v/>
      </c>
      <c r="K27" s="19" t="str">
        <f t="shared" si="1"/>
        <v/>
      </c>
      <c r="L27" s="19" t="str">
        <f t="shared" si="2"/>
        <v/>
      </c>
      <c r="M27" s="19" t="str">
        <f ca="1">IF($B27="","",IF($F27="Yes","Completed",IF($H27&lt;0,"Expired",IF(TODAY()&gt;=$L27,"3rd Reminder",IF(TODAY()&gt;=$K27,"2nd Reminder",IF(TODAY()&gt;=$J27,"1st Reminder","Not Yet"))))))</f>
        <v/>
      </c>
      <c r="N27" s="19" t="str">
        <f>IF($B27="","",IF($F27="Yes","Completed",IF($H27&lt;0,"Expired",IF(OR($F27="Pending",$F27="No",$F27="On Hold",$F27="Escalate"),IF($M27="Not Yet","Scheduled","Action Required"),"Review"))))</f>
        <v/>
      </c>
      <c r="O27" s="19" t="str">
        <f>IF($B27="","",IF(AND($N27="Action Required",$F27&lt;&gt;"Yes"),"Yes","No"))</f>
        <v/>
      </c>
      <c r="P27" s="19"/>
      <c r="Q27" s="19" t="str">
        <f>IF($B27="","",IF($O27="Yes","Ready for email batch","No email needed"))</f>
        <v/>
      </c>
      <c r="R27" s="19" t="str">
        <f>IF($B27="","",IF($F27="Yes","Stop reminders",IF($N27="Expired","Review expired item",IF($O27="Yes","Send "&amp;$M27&amp;" email to "&amp;$E27,"Monitor"))))</f>
        <v/>
      </c>
    </row>
    <row r="28" spans="1:18" ht="12" customHeight="1">
      <c r="A28" s="19"/>
      <c r="B28" s="19"/>
      <c r="C28" s="19"/>
      <c r="D28" s="19"/>
      <c r="E28" s="19"/>
      <c r="F28" s="19"/>
      <c r="G28" s="19"/>
      <c r="H28" s="19" t="str">
        <f ca="1">IF($B28="","",$D28-TODAY())</f>
        <v/>
      </c>
      <c r="I28" s="19" t="str">
        <f>IF($B28="","",IF($H28&lt;0,"Expired",IF($H28&lt;=7,"0-7 days",IF($H28&lt;=14,"8-14 days",IF($H28&lt;=30,"15-30 days","30+ days")))))</f>
        <v/>
      </c>
      <c r="J28" s="19" t="str">
        <f t="shared" si="0"/>
        <v/>
      </c>
      <c r="K28" s="19" t="str">
        <f t="shared" si="1"/>
        <v/>
      </c>
      <c r="L28" s="19" t="str">
        <f t="shared" si="2"/>
        <v/>
      </c>
      <c r="M28" s="19" t="str">
        <f ca="1">IF($B28="","",IF($F28="Yes","Completed",IF($H28&lt;0,"Expired",IF(TODAY()&gt;=$L28,"3rd Reminder",IF(TODAY()&gt;=$K28,"2nd Reminder",IF(TODAY()&gt;=$J28,"1st Reminder","Not Yet"))))))</f>
        <v/>
      </c>
      <c r="N28" s="19" t="str">
        <f>IF($B28="","",IF($F28="Yes","Completed",IF($H28&lt;0,"Expired",IF(OR($F28="Pending",$F28="No",$F28="On Hold",$F28="Escalate"),IF($M28="Not Yet","Scheduled","Action Required"),"Review"))))</f>
        <v/>
      </c>
      <c r="O28" s="19" t="str">
        <f>IF($B28="","",IF(AND($N28="Action Required",$F28&lt;&gt;"Yes"),"Yes","No"))</f>
        <v/>
      </c>
      <c r="P28" s="19"/>
      <c r="Q28" s="19" t="str">
        <f>IF($B28="","",IF($O28="Yes","Ready for email batch","No email needed"))</f>
        <v/>
      </c>
      <c r="R28" s="19" t="str">
        <f>IF($B28="","",IF($F28="Yes","Stop reminders",IF($N28="Expired","Review expired item",IF($O28="Yes","Send "&amp;$M28&amp;" email to "&amp;$E28,"Monitor"))))</f>
        <v/>
      </c>
    </row>
    <row r="29" spans="1:18" ht="12" customHeight="1">
      <c r="A29" s="19"/>
      <c r="B29" s="19"/>
      <c r="C29" s="19"/>
      <c r="D29" s="19"/>
      <c r="E29" s="19"/>
      <c r="F29" s="19"/>
      <c r="G29" s="19"/>
      <c r="H29" s="19" t="str">
        <f ca="1">IF($B29="","",$D29-TODAY())</f>
        <v/>
      </c>
      <c r="I29" s="19" t="str">
        <f>IF($B29="","",IF($H29&lt;0,"Expired",IF($H29&lt;=7,"0-7 days",IF($H29&lt;=14,"8-14 days",IF($H29&lt;=30,"15-30 days","30+ days")))))</f>
        <v/>
      </c>
      <c r="J29" s="19" t="str">
        <f t="shared" si="0"/>
        <v/>
      </c>
      <c r="K29" s="19" t="str">
        <f t="shared" si="1"/>
        <v/>
      </c>
      <c r="L29" s="19" t="str">
        <f t="shared" si="2"/>
        <v/>
      </c>
      <c r="M29" s="19" t="str">
        <f ca="1">IF($B29="","",IF($F29="Yes","Completed",IF($H29&lt;0,"Expired",IF(TODAY()&gt;=$L29,"3rd Reminder",IF(TODAY()&gt;=$K29,"2nd Reminder",IF(TODAY()&gt;=$J29,"1st Reminder","Not Yet"))))))</f>
        <v/>
      </c>
      <c r="N29" s="19" t="str">
        <f>IF($B29="","",IF($F29="Yes","Completed",IF($H29&lt;0,"Expired",IF(OR($F29="Pending",$F29="No",$F29="On Hold",$F29="Escalate"),IF($M29="Not Yet","Scheduled","Action Required"),"Review"))))</f>
        <v/>
      </c>
      <c r="O29" s="19" t="str">
        <f>IF($B29="","",IF(AND($N29="Action Required",$F29&lt;&gt;"Yes"),"Yes","No"))</f>
        <v/>
      </c>
      <c r="P29" s="19"/>
      <c r="Q29" s="19" t="str">
        <f>IF($B29="","",IF($O29="Yes","Ready for email batch","No email needed"))</f>
        <v/>
      </c>
      <c r="R29" s="19" t="str">
        <f>IF($B29="","",IF($F29="Yes","Stop reminders",IF($N29="Expired","Review expired item",IF($O29="Yes","Send "&amp;$M29&amp;" email to "&amp;$E29,"Monitor"))))</f>
        <v/>
      </c>
    </row>
    <row r="30" spans="1:18" ht="12" customHeight="1">
      <c r="A30" s="19"/>
      <c r="B30" s="19"/>
      <c r="C30" s="19"/>
      <c r="D30" s="19"/>
      <c r="E30" s="19"/>
      <c r="F30" s="19"/>
      <c r="G30" s="19"/>
      <c r="H30" s="19" t="str">
        <f ca="1">IF($B30="","",$D30-TODAY())</f>
        <v/>
      </c>
      <c r="I30" s="19" t="str">
        <f>IF($B30="","",IF($H30&lt;0,"Expired",IF($H30&lt;=7,"0-7 days",IF($H30&lt;=14,"8-14 days",IF($H30&lt;=30,"15-30 days","30+ days")))))</f>
        <v/>
      </c>
      <c r="J30" s="19" t="str">
        <f t="shared" si="0"/>
        <v/>
      </c>
      <c r="K30" s="19" t="str">
        <f t="shared" si="1"/>
        <v/>
      </c>
      <c r="L30" s="19" t="str">
        <f t="shared" si="2"/>
        <v/>
      </c>
      <c r="M30" s="19" t="str">
        <f ca="1">IF($B30="","",IF($F30="Yes","Completed",IF($H30&lt;0,"Expired",IF(TODAY()&gt;=$L30,"3rd Reminder",IF(TODAY()&gt;=$K30,"2nd Reminder",IF(TODAY()&gt;=$J30,"1st Reminder","Not Yet"))))))</f>
        <v/>
      </c>
      <c r="N30" s="19" t="str">
        <f>IF($B30="","",IF($F30="Yes","Completed",IF($H30&lt;0,"Expired",IF(OR($F30="Pending",$F30="No",$F30="On Hold",$F30="Escalate"),IF($M30="Not Yet","Scheduled","Action Required"),"Review"))))</f>
        <v/>
      </c>
      <c r="O30" s="19" t="str">
        <f>IF($B30="","",IF(AND($N30="Action Required",$F30&lt;&gt;"Yes"),"Yes","No"))</f>
        <v/>
      </c>
      <c r="P30" s="19"/>
      <c r="Q30" s="19" t="str">
        <f>IF($B30="","",IF($O30="Yes","Ready for email batch","No email needed"))</f>
        <v/>
      </c>
      <c r="R30" s="19" t="str">
        <f>IF($B30="","",IF($F30="Yes","Stop reminders",IF($N30="Expired","Review expired item",IF($O30="Yes","Send "&amp;$M30&amp;" email to "&amp;$E30,"Monitor"))))</f>
        <v/>
      </c>
    </row>
    <row r="31" spans="1:18" ht="12" customHeight="1">
      <c r="A31" s="19"/>
      <c r="B31" s="19"/>
      <c r="C31" s="19"/>
      <c r="D31" s="19"/>
      <c r="E31" s="19"/>
      <c r="F31" s="19"/>
      <c r="G31" s="19"/>
      <c r="H31" s="19" t="str">
        <f ca="1">IF($B31="","",$D31-TODAY())</f>
        <v/>
      </c>
      <c r="I31" s="19" t="str">
        <f>IF($B31="","",IF($H31&lt;0,"Expired",IF($H31&lt;=7,"0-7 days",IF($H31&lt;=14,"8-14 days",IF($H31&lt;=30,"15-30 days","30+ days")))))</f>
        <v/>
      </c>
      <c r="J31" s="19" t="str">
        <f t="shared" si="0"/>
        <v/>
      </c>
      <c r="K31" s="19" t="str">
        <f t="shared" si="1"/>
        <v/>
      </c>
      <c r="L31" s="19" t="str">
        <f t="shared" si="2"/>
        <v/>
      </c>
      <c r="M31" s="19" t="str">
        <f ca="1">IF($B31="","",IF($F31="Yes","Completed",IF($H31&lt;0,"Expired",IF(TODAY()&gt;=$L31,"3rd Reminder",IF(TODAY()&gt;=$K31,"2nd Reminder",IF(TODAY()&gt;=$J31,"1st Reminder","Not Yet"))))))</f>
        <v/>
      </c>
      <c r="N31" s="19" t="str">
        <f>IF($B31="","",IF($F31="Yes","Completed",IF($H31&lt;0,"Expired",IF(OR($F31="Pending",$F31="No",$F31="On Hold",$F31="Escalate"),IF($M31="Not Yet","Scheduled","Action Required"),"Review"))))</f>
        <v/>
      </c>
      <c r="O31" s="19" t="str">
        <f>IF($B31="","",IF(AND($N31="Action Required",$F31&lt;&gt;"Yes"),"Yes","No"))</f>
        <v/>
      </c>
      <c r="P31" s="19"/>
      <c r="Q31" s="19" t="str">
        <f>IF($B31="","",IF($O31="Yes","Ready for email batch","No email needed"))</f>
        <v/>
      </c>
      <c r="R31" s="19" t="str">
        <f>IF($B31="","",IF($F31="Yes","Stop reminders",IF($N31="Expired","Review expired item",IF($O31="Yes","Send "&amp;$M31&amp;" email to "&amp;$E31,"Monitor"))))</f>
        <v/>
      </c>
    </row>
    <row r="32" spans="1:18" ht="12" customHeight="1">
      <c r="A32" s="19"/>
      <c r="B32" s="19"/>
      <c r="C32" s="19"/>
      <c r="D32" s="19"/>
      <c r="E32" s="19"/>
      <c r="F32" s="19"/>
      <c r="G32" s="19"/>
      <c r="H32" s="19" t="str">
        <f ca="1">IF($B32="","",$D32-TODAY())</f>
        <v/>
      </c>
      <c r="I32" s="19" t="str">
        <f>IF($B32="","",IF($H32&lt;0,"Expired",IF($H32&lt;=7,"0-7 days",IF($H32&lt;=14,"8-14 days",IF($H32&lt;=30,"15-30 days","30+ days")))))</f>
        <v/>
      </c>
      <c r="J32" s="19" t="str">
        <f t="shared" si="0"/>
        <v/>
      </c>
      <c r="K32" s="19" t="str">
        <f t="shared" si="1"/>
        <v/>
      </c>
      <c r="L32" s="19" t="str">
        <f t="shared" si="2"/>
        <v/>
      </c>
      <c r="M32" s="19" t="str">
        <f ca="1">IF($B32="","",IF($F32="Yes","Completed",IF($H32&lt;0,"Expired",IF(TODAY()&gt;=$L32,"3rd Reminder",IF(TODAY()&gt;=$K32,"2nd Reminder",IF(TODAY()&gt;=$J32,"1st Reminder","Not Yet"))))))</f>
        <v/>
      </c>
      <c r="N32" s="19" t="str">
        <f>IF($B32="","",IF($F32="Yes","Completed",IF($H32&lt;0,"Expired",IF(OR($F32="Pending",$F32="No",$F32="On Hold",$F32="Escalate"),IF($M32="Not Yet","Scheduled","Action Required"),"Review"))))</f>
        <v/>
      </c>
      <c r="O32" s="19" t="str">
        <f>IF($B32="","",IF(AND($N32="Action Required",$F32&lt;&gt;"Yes"),"Yes","No"))</f>
        <v/>
      </c>
      <c r="P32" s="19"/>
      <c r="Q32" s="19" t="str">
        <f>IF($B32="","",IF($O32="Yes","Ready for email batch","No email needed"))</f>
        <v/>
      </c>
      <c r="R32" s="19" t="str">
        <f>IF($B32="","",IF($F32="Yes","Stop reminders",IF($N32="Expired","Review expired item",IF($O32="Yes","Send "&amp;$M32&amp;" email to "&amp;$E32,"Monitor"))))</f>
        <v/>
      </c>
    </row>
    <row r="33" spans="1:18" ht="12" customHeight="1">
      <c r="A33" s="19"/>
      <c r="B33" s="19"/>
      <c r="C33" s="19"/>
      <c r="D33" s="19"/>
      <c r="E33" s="19"/>
      <c r="F33" s="19"/>
      <c r="G33" s="19"/>
      <c r="H33" s="19" t="str">
        <f ca="1">IF($B33="","",$D33-TODAY())</f>
        <v/>
      </c>
      <c r="I33" s="19" t="str">
        <f>IF($B33="","",IF($H33&lt;0,"Expired",IF($H33&lt;=7,"0-7 days",IF($H33&lt;=14,"8-14 days",IF($H33&lt;=30,"15-30 days","30+ days")))))</f>
        <v/>
      </c>
      <c r="J33" s="19" t="str">
        <f t="shared" si="0"/>
        <v/>
      </c>
      <c r="K33" s="19" t="str">
        <f t="shared" si="1"/>
        <v/>
      </c>
      <c r="L33" s="19" t="str">
        <f t="shared" si="2"/>
        <v/>
      </c>
      <c r="M33" s="19" t="str">
        <f ca="1">IF($B33="","",IF($F33="Yes","Completed",IF($H33&lt;0,"Expired",IF(TODAY()&gt;=$L33,"3rd Reminder",IF(TODAY()&gt;=$K33,"2nd Reminder",IF(TODAY()&gt;=$J33,"1st Reminder","Not Yet"))))))</f>
        <v/>
      </c>
      <c r="N33" s="19" t="str">
        <f>IF($B33="","",IF($F33="Yes","Completed",IF($H33&lt;0,"Expired",IF(OR($F33="Pending",$F33="No",$F33="On Hold",$F33="Escalate"),IF($M33="Not Yet","Scheduled","Action Required"),"Review"))))</f>
        <v/>
      </c>
      <c r="O33" s="19" t="str">
        <f>IF($B33="","",IF(AND($N33="Action Required",$F33&lt;&gt;"Yes"),"Yes","No"))</f>
        <v/>
      </c>
      <c r="P33" s="19"/>
      <c r="Q33" s="19" t="str">
        <f>IF($B33="","",IF($O33="Yes","Ready for email batch","No email needed"))</f>
        <v/>
      </c>
      <c r="R33" s="19" t="str">
        <f>IF($B33="","",IF($F33="Yes","Stop reminders",IF($N33="Expired","Review expired item",IF($O33="Yes","Send "&amp;$M33&amp;" email to "&amp;$E33,"Monitor"))))</f>
        <v/>
      </c>
    </row>
    <row r="34" spans="1:18" ht="12" customHeight="1">
      <c r="A34" s="19"/>
      <c r="B34" s="19"/>
      <c r="C34" s="19"/>
      <c r="D34" s="19"/>
      <c r="E34" s="19"/>
      <c r="F34" s="19"/>
      <c r="G34" s="19"/>
      <c r="H34" s="19" t="str">
        <f ca="1">IF($B34="","",$D34-TODAY())</f>
        <v/>
      </c>
      <c r="I34" s="19" t="str">
        <f>IF($B34="","",IF($H34&lt;0,"Expired",IF($H34&lt;=7,"0-7 days",IF($H34&lt;=14,"8-14 days",IF($H34&lt;=30,"15-30 days","30+ days")))))</f>
        <v/>
      </c>
      <c r="J34" s="19" t="str">
        <f t="shared" si="0"/>
        <v/>
      </c>
      <c r="K34" s="19" t="str">
        <f t="shared" si="1"/>
        <v/>
      </c>
      <c r="L34" s="19" t="str">
        <f t="shared" si="2"/>
        <v/>
      </c>
      <c r="M34" s="19" t="str">
        <f ca="1">IF($B34="","",IF($F34="Yes","Completed",IF($H34&lt;0,"Expired",IF(TODAY()&gt;=$L34,"3rd Reminder",IF(TODAY()&gt;=$K34,"2nd Reminder",IF(TODAY()&gt;=$J34,"1st Reminder","Not Yet"))))))</f>
        <v/>
      </c>
      <c r="N34" s="19" t="str">
        <f>IF($B34="","",IF($F34="Yes","Completed",IF($H34&lt;0,"Expired",IF(OR($F34="Pending",$F34="No",$F34="On Hold",$F34="Escalate"),IF($M34="Not Yet","Scheduled","Action Required"),"Review"))))</f>
        <v/>
      </c>
      <c r="O34" s="19" t="str">
        <f>IF($B34="","",IF(AND($N34="Action Required",$F34&lt;&gt;"Yes"),"Yes","No"))</f>
        <v/>
      </c>
      <c r="P34" s="19"/>
      <c r="Q34" s="19" t="str">
        <f>IF($B34="","",IF($O34="Yes","Ready for email batch","No email needed"))</f>
        <v/>
      </c>
      <c r="R34" s="19" t="str">
        <f>IF($B34="","",IF($F34="Yes","Stop reminders",IF($N34="Expired","Review expired item",IF($O34="Yes","Send "&amp;$M34&amp;" email to "&amp;$E34,"Monitor"))))</f>
        <v/>
      </c>
    </row>
    <row r="35" spans="1:18" ht="12" customHeight="1">
      <c r="A35" s="19"/>
      <c r="B35" s="19"/>
      <c r="C35" s="19"/>
      <c r="D35" s="19"/>
      <c r="E35" s="19"/>
      <c r="F35" s="19"/>
      <c r="G35" s="19"/>
      <c r="H35" s="19" t="str">
        <f ca="1">IF($B35="","",$D35-TODAY())</f>
        <v/>
      </c>
      <c r="I35" s="19" t="str">
        <f>IF($B35="","",IF($H35&lt;0,"Expired",IF($H35&lt;=7,"0-7 days",IF($H35&lt;=14,"8-14 days",IF($H35&lt;=30,"15-30 days","30+ days")))))</f>
        <v/>
      </c>
      <c r="J35" s="19" t="str">
        <f t="shared" si="0"/>
        <v/>
      </c>
      <c r="K35" s="19" t="str">
        <f t="shared" si="1"/>
        <v/>
      </c>
      <c r="L35" s="19" t="str">
        <f t="shared" si="2"/>
        <v/>
      </c>
      <c r="M35" s="19" t="str">
        <f ca="1">IF($B35="","",IF($F35="Yes","Completed",IF($H35&lt;0,"Expired",IF(TODAY()&gt;=$L35,"3rd Reminder",IF(TODAY()&gt;=$K35,"2nd Reminder",IF(TODAY()&gt;=$J35,"1st Reminder","Not Yet"))))))</f>
        <v/>
      </c>
      <c r="N35" s="19" t="str">
        <f>IF($B35="","",IF($F35="Yes","Completed",IF($H35&lt;0,"Expired",IF(OR($F35="Pending",$F35="No",$F35="On Hold",$F35="Escalate"),IF($M35="Not Yet","Scheduled","Action Required"),"Review"))))</f>
        <v/>
      </c>
      <c r="O35" s="19" t="str">
        <f>IF($B35="","",IF(AND($N35="Action Required",$F35&lt;&gt;"Yes"),"Yes","No"))</f>
        <v/>
      </c>
      <c r="P35" s="19"/>
      <c r="Q35" s="19" t="str">
        <f>IF($B35="","",IF($O35="Yes","Ready for email batch","No email needed"))</f>
        <v/>
      </c>
      <c r="R35" s="19" t="str">
        <f>IF($B35="","",IF($F35="Yes","Stop reminders",IF($N35="Expired","Review expired item",IF($O35="Yes","Send "&amp;$M35&amp;" email to "&amp;$E35,"Monitor"))))</f>
        <v/>
      </c>
    </row>
    <row r="36" spans="1:18" ht="12" customHeight="1">
      <c r="A36" s="19"/>
      <c r="B36" s="19"/>
      <c r="C36" s="19"/>
      <c r="D36" s="19"/>
      <c r="E36" s="19"/>
      <c r="F36" s="19"/>
      <c r="G36" s="19"/>
      <c r="H36" s="19" t="str">
        <f ca="1">IF($B36="","",$D36-TODAY())</f>
        <v/>
      </c>
      <c r="I36" s="19" t="str">
        <f>IF($B36="","",IF($H36&lt;0,"Expired",IF($H36&lt;=7,"0-7 days",IF($H36&lt;=14,"8-14 days",IF($H36&lt;=30,"15-30 days","30+ days")))))</f>
        <v/>
      </c>
      <c r="J36" s="19" t="str">
        <f t="shared" si="0"/>
        <v/>
      </c>
      <c r="K36" s="19" t="str">
        <f t="shared" si="1"/>
        <v/>
      </c>
      <c r="L36" s="19" t="str">
        <f t="shared" si="2"/>
        <v/>
      </c>
      <c r="M36" s="19" t="str">
        <f ca="1">IF($B36="","",IF($F36="Yes","Completed",IF($H36&lt;0,"Expired",IF(TODAY()&gt;=$L36,"3rd Reminder",IF(TODAY()&gt;=$K36,"2nd Reminder",IF(TODAY()&gt;=$J36,"1st Reminder","Not Yet"))))))</f>
        <v/>
      </c>
      <c r="N36" s="19" t="str">
        <f>IF($B36="","",IF($F36="Yes","Completed",IF($H36&lt;0,"Expired",IF(OR($F36="Pending",$F36="No",$F36="On Hold",$F36="Escalate"),IF($M36="Not Yet","Scheduled","Action Required"),"Review"))))</f>
        <v/>
      </c>
      <c r="O36" s="19" t="str">
        <f>IF($B36="","",IF(AND($N36="Action Required",$F36&lt;&gt;"Yes"),"Yes","No"))</f>
        <v/>
      </c>
      <c r="P36" s="19"/>
      <c r="Q36" s="19" t="str">
        <f>IF($B36="","",IF($O36="Yes","Ready for email batch","No email needed"))</f>
        <v/>
      </c>
      <c r="R36" s="19" t="str">
        <f>IF($B36="","",IF($F36="Yes","Stop reminders",IF($N36="Expired","Review expired item",IF($O36="Yes","Send "&amp;$M36&amp;" email to "&amp;$E36,"Monitor"))))</f>
        <v/>
      </c>
    </row>
    <row r="37" spans="1:18" ht="12" customHeight="1">
      <c r="A37" s="19"/>
      <c r="B37" s="19"/>
      <c r="C37" s="19"/>
      <c r="D37" s="19"/>
      <c r="E37" s="19"/>
      <c r="F37" s="19"/>
      <c r="G37" s="19"/>
      <c r="H37" s="19" t="str">
        <f ca="1">IF($B37="","",$D37-TODAY())</f>
        <v/>
      </c>
      <c r="I37" s="19" t="str">
        <f>IF($B37="","",IF($H37&lt;0,"Expired",IF($H37&lt;=7,"0-7 days",IF($H37&lt;=14,"8-14 days",IF($H37&lt;=30,"15-30 days","30+ days")))))</f>
        <v/>
      </c>
      <c r="J37" s="19" t="str">
        <f t="shared" ref="J37:J68" si="3">IF($D37="","",$D37-30)</f>
        <v/>
      </c>
      <c r="K37" s="19" t="str">
        <f t="shared" ref="K37:K68" si="4">IF($D37="","",$D37-14)</f>
        <v/>
      </c>
      <c r="L37" s="19" t="str">
        <f t="shared" ref="L37:L68" si="5">IF($D37="","",$D37-7)</f>
        <v/>
      </c>
      <c r="M37" s="19" t="str">
        <f ca="1">IF($B37="","",IF($F37="Yes","Completed",IF($H37&lt;0,"Expired",IF(TODAY()&gt;=$L37,"3rd Reminder",IF(TODAY()&gt;=$K37,"2nd Reminder",IF(TODAY()&gt;=$J37,"1st Reminder","Not Yet"))))))</f>
        <v/>
      </c>
      <c r="N37" s="19" t="str">
        <f>IF($B37="","",IF($F37="Yes","Completed",IF($H37&lt;0,"Expired",IF(OR($F37="Pending",$F37="No",$F37="On Hold",$F37="Escalate"),IF($M37="Not Yet","Scheduled","Action Required"),"Review"))))</f>
        <v/>
      </c>
      <c r="O37" s="19" t="str">
        <f>IF($B37="","",IF(AND($N37="Action Required",$F37&lt;&gt;"Yes"),"Yes","No"))</f>
        <v/>
      </c>
      <c r="P37" s="19"/>
      <c r="Q37" s="19" t="str">
        <f>IF($B37="","",IF($O37="Yes","Ready for email batch","No email needed"))</f>
        <v/>
      </c>
      <c r="R37" s="19" t="str">
        <f>IF($B37="","",IF($F37="Yes","Stop reminders",IF($N37="Expired","Review expired item",IF($O37="Yes","Send "&amp;$M37&amp;" email to "&amp;$E37,"Monitor"))))</f>
        <v/>
      </c>
    </row>
    <row r="38" spans="1:18" ht="12" customHeight="1">
      <c r="A38" s="19"/>
      <c r="B38" s="19"/>
      <c r="C38" s="19"/>
      <c r="D38" s="19"/>
      <c r="E38" s="19"/>
      <c r="F38" s="19"/>
      <c r="G38" s="19"/>
      <c r="H38" s="19" t="str">
        <f ca="1">IF($B38="","",$D38-TODAY())</f>
        <v/>
      </c>
      <c r="I38" s="19" t="str">
        <f>IF($B38="","",IF($H38&lt;0,"Expired",IF($H38&lt;=7,"0-7 days",IF($H38&lt;=14,"8-14 days",IF($H38&lt;=30,"15-30 days","30+ days")))))</f>
        <v/>
      </c>
      <c r="J38" s="19" t="str">
        <f t="shared" si="3"/>
        <v/>
      </c>
      <c r="K38" s="19" t="str">
        <f t="shared" si="4"/>
        <v/>
      </c>
      <c r="L38" s="19" t="str">
        <f t="shared" si="5"/>
        <v/>
      </c>
      <c r="M38" s="19" t="str">
        <f ca="1">IF($B38="","",IF($F38="Yes","Completed",IF($H38&lt;0,"Expired",IF(TODAY()&gt;=$L38,"3rd Reminder",IF(TODAY()&gt;=$K38,"2nd Reminder",IF(TODAY()&gt;=$J38,"1st Reminder","Not Yet"))))))</f>
        <v/>
      </c>
      <c r="N38" s="19" t="str">
        <f>IF($B38="","",IF($F38="Yes","Completed",IF($H38&lt;0,"Expired",IF(OR($F38="Pending",$F38="No",$F38="On Hold",$F38="Escalate"),IF($M38="Not Yet","Scheduled","Action Required"),"Review"))))</f>
        <v/>
      </c>
      <c r="O38" s="19" t="str">
        <f>IF($B38="","",IF(AND($N38="Action Required",$F38&lt;&gt;"Yes"),"Yes","No"))</f>
        <v/>
      </c>
      <c r="P38" s="19"/>
      <c r="Q38" s="19" t="str">
        <f>IF($B38="","",IF($O38="Yes","Ready for email batch","No email needed"))</f>
        <v/>
      </c>
      <c r="R38" s="19" t="str">
        <f>IF($B38="","",IF($F38="Yes","Stop reminders",IF($N38="Expired","Review expired item",IF($O38="Yes","Send "&amp;$M38&amp;" email to "&amp;$E38,"Monitor"))))</f>
        <v/>
      </c>
    </row>
    <row r="39" spans="1:18" ht="12" customHeight="1">
      <c r="A39" s="19"/>
      <c r="B39" s="19"/>
      <c r="C39" s="19"/>
      <c r="D39" s="19"/>
      <c r="E39" s="19"/>
      <c r="F39" s="19"/>
      <c r="G39" s="19"/>
      <c r="H39" s="19" t="str">
        <f ca="1">IF($B39="","",$D39-TODAY())</f>
        <v/>
      </c>
      <c r="I39" s="19" t="str">
        <f>IF($B39="","",IF($H39&lt;0,"Expired",IF($H39&lt;=7,"0-7 days",IF($H39&lt;=14,"8-14 days",IF($H39&lt;=30,"15-30 days","30+ days")))))</f>
        <v/>
      </c>
      <c r="J39" s="19" t="str">
        <f t="shared" si="3"/>
        <v/>
      </c>
      <c r="K39" s="19" t="str">
        <f t="shared" si="4"/>
        <v/>
      </c>
      <c r="L39" s="19" t="str">
        <f t="shared" si="5"/>
        <v/>
      </c>
      <c r="M39" s="19" t="str">
        <f ca="1">IF($B39="","",IF($F39="Yes","Completed",IF($H39&lt;0,"Expired",IF(TODAY()&gt;=$L39,"3rd Reminder",IF(TODAY()&gt;=$K39,"2nd Reminder",IF(TODAY()&gt;=$J39,"1st Reminder","Not Yet"))))))</f>
        <v/>
      </c>
      <c r="N39" s="19" t="str">
        <f>IF($B39="","",IF($F39="Yes","Completed",IF($H39&lt;0,"Expired",IF(OR($F39="Pending",$F39="No",$F39="On Hold",$F39="Escalate"),IF($M39="Not Yet","Scheduled","Action Required"),"Review"))))</f>
        <v/>
      </c>
      <c r="O39" s="19" t="str">
        <f>IF($B39="","",IF(AND($N39="Action Required",$F39&lt;&gt;"Yes"),"Yes","No"))</f>
        <v/>
      </c>
      <c r="P39" s="19"/>
      <c r="Q39" s="19" t="str">
        <f>IF($B39="","",IF($O39="Yes","Ready for email batch","No email needed"))</f>
        <v/>
      </c>
      <c r="R39" s="19" t="str">
        <f>IF($B39="","",IF($F39="Yes","Stop reminders",IF($N39="Expired","Review expired item",IF($O39="Yes","Send "&amp;$M39&amp;" email to "&amp;$E39,"Monitor"))))</f>
        <v/>
      </c>
    </row>
    <row r="40" spans="1:18" ht="12" customHeight="1">
      <c r="A40" s="19"/>
      <c r="B40" s="19"/>
      <c r="C40" s="19"/>
      <c r="D40" s="19"/>
      <c r="E40" s="19"/>
      <c r="F40" s="19"/>
      <c r="G40" s="19"/>
      <c r="H40" s="19" t="str">
        <f ca="1">IF($B40="","",$D40-TODAY())</f>
        <v/>
      </c>
      <c r="I40" s="19" t="str">
        <f>IF($B40="","",IF($H40&lt;0,"Expired",IF($H40&lt;=7,"0-7 days",IF($H40&lt;=14,"8-14 days",IF($H40&lt;=30,"15-30 days","30+ days")))))</f>
        <v/>
      </c>
      <c r="J40" s="19" t="str">
        <f t="shared" si="3"/>
        <v/>
      </c>
      <c r="K40" s="19" t="str">
        <f t="shared" si="4"/>
        <v/>
      </c>
      <c r="L40" s="19" t="str">
        <f t="shared" si="5"/>
        <v/>
      </c>
      <c r="M40" s="19" t="str">
        <f ca="1">IF($B40="","",IF($F40="Yes","Completed",IF($H40&lt;0,"Expired",IF(TODAY()&gt;=$L40,"3rd Reminder",IF(TODAY()&gt;=$K40,"2nd Reminder",IF(TODAY()&gt;=$J40,"1st Reminder","Not Yet"))))))</f>
        <v/>
      </c>
      <c r="N40" s="19" t="str">
        <f>IF($B40="","",IF($F40="Yes","Completed",IF($H40&lt;0,"Expired",IF(OR($F40="Pending",$F40="No",$F40="On Hold",$F40="Escalate"),IF($M40="Not Yet","Scheduled","Action Required"),"Review"))))</f>
        <v/>
      </c>
      <c r="O40" s="19" t="str">
        <f>IF($B40="","",IF(AND($N40="Action Required",$F40&lt;&gt;"Yes"),"Yes","No"))</f>
        <v/>
      </c>
      <c r="P40" s="19"/>
      <c r="Q40" s="19" t="str">
        <f>IF($B40="","",IF($O40="Yes","Ready for email batch","No email needed"))</f>
        <v/>
      </c>
      <c r="R40" s="19" t="str">
        <f>IF($B40="","",IF($F40="Yes","Stop reminders",IF($N40="Expired","Review expired item",IF($O40="Yes","Send "&amp;$M40&amp;" email to "&amp;$E40,"Monitor"))))</f>
        <v/>
      </c>
    </row>
    <row r="41" spans="1:18" ht="12" customHeight="1">
      <c r="A41" s="19"/>
      <c r="B41" s="19"/>
      <c r="C41" s="19"/>
      <c r="D41" s="19"/>
      <c r="E41" s="19"/>
      <c r="F41" s="19"/>
      <c r="G41" s="19"/>
      <c r="H41" s="19" t="str">
        <f ca="1">IF($B41="","",$D41-TODAY())</f>
        <v/>
      </c>
      <c r="I41" s="19" t="str">
        <f>IF($B41="","",IF($H41&lt;0,"Expired",IF($H41&lt;=7,"0-7 days",IF($H41&lt;=14,"8-14 days",IF($H41&lt;=30,"15-30 days","30+ days")))))</f>
        <v/>
      </c>
      <c r="J41" s="19" t="str">
        <f t="shared" si="3"/>
        <v/>
      </c>
      <c r="K41" s="19" t="str">
        <f t="shared" si="4"/>
        <v/>
      </c>
      <c r="L41" s="19" t="str">
        <f t="shared" si="5"/>
        <v/>
      </c>
      <c r="M41" s="19" t="str">
        <f ca="1">IF($B41="","",IF($F41="Yes","Completed",IF($H41&lt;0,"Expired",IF(TODAY()&gt;=$L41,"3rd Reminder",IF(TODAY()&gt;=$K41,"2nd Reminder",IF(TODAY()&gt;=$J41,"1st Reminder","Not Yet"))))))</f>
        <v/>
      </c>
      <c r="N41" s="19" t="str">
        <f>IF($B41="","",IF($F41="Yes","Completed",IF($H41&lt;0,"Expired",IF(OR($F41="Pending",$F41="No",$F41="On Hold",$F41="Escalate"),IF($M41="Not Yet","Scheduled","Action Required"),"Review"))))</f>
        <v/>
      </c>
      <c r="O41" s="19" t="str">
        <f>IF($B41="","",IF(AND($N41="Action Required",$F41&lt;&gt;"Yes"),"Yes","No"))</f>
        <v/>
      </c>
      <c r="P41" s="19"/>
      <c r="Q41" s="19" t="str">
        <f>IF($B41="","",IF($O41="Yes","Ready for email batch","No email needed"))</f>
        <v/>
      </c>
      <c r="R41" s="19" t="str">
        <f>IF($B41="","",IF($F41="Yes","Stop reminders",IF($N41="Expired","Review expired item",IF($O41="Yes","Send "&amp;$M41&amp;" email to "&amp;$E41,"Monitor"))))</f>
        <v/>
      </c>
    </row>
    <row r="42" spans="1:18" ht="12" customHeight="1">
      <c r="A42" s="19"/>
      <c r="B42" s="19"/>
      <c r="C42" s="19"/>
      <c r="D42" s="19"/>
      <c r="E42" s="19"/>
      <c r="F42" s="19"/>
      <c r="G42" s="19"/>
      <c r="H42" s="19" t="str">
        <f ca="1">IF($B42="","",$D42-TODAY())</f>
        <v/>
      </c>
      <c r="I42" s="19" t="str">
        <f>IF($B42="","",IF($H42&lt;0,"Expired",IF($H42&lt;=7,"0-7 days",IF($H42&lt;=14,"8-14 days",IF($H42&lt;=30,"15-30 days","30+ days")))))</f>
        <v/>
      </c>
      <c r="J42" s="19" t="str">
        <f t="shared" si="3"/>
        <v/>
      </c>
      <c r="K42" s="19" t="str">
        <f t="shared" si="4"/>
        <v/>
      </c>
      <c r="L42" s="19" t="str">
        <f t="shared" si="5"/>
        <v/>
      </c>
      <c r="M42" s="19" t="str">
        <f ca="1">IF($B42="","",IF($F42="Yes","Completed",IF($H42&lt;0,"Expired",IF(TODAY()&gt;=$L42,"3rd Reminder",IF(TODAY()&gt;=$K42,"2nd Reminder",IF(TODAY()&gt;=$J42,"1st Reminder","Not Yet"))))))</f>
        <v/>
      </c>
      <c r="N42" s="19" t="str">
        <f>IF($B42="","",IF($F42="Yes","Completed",IF($H42&lt;0,"Expired",IF(OR($F42="Pending",$F42="No",$F42="On Hold",$F42="Escalate"),IF($M42="Not Yet","Scheduled","Action Required"),"Review"))))</f>
        <v/>
      </c>
      <c r="O42" s="19" t="str">
        <f>IF($B42="","",IF(AND($N42="Action Required",$F42&lt;&gt;"Yes"),"Yes","No"))</f>
        <v/>
      </c>
      <c r="P42" s="19"/>
      <c r="Q42" s="19" t="str">
        <f>IF($B42="","",IF($O42="Yes","Ready for email batch","No email needed"))</f>
        <v/>
      </c>
      <c r="R42" s="19" t="str">
        <f>IF($B42="","",IF($F42="Yes","Stop reminders",IF($N42="Expired","Review expired item",IF($O42="Yes","Send "&amp;$M42&amp;" email to "&amp;$E42,"Monitor"))))</f>
        <v/>
      </c>
    </row>
    <row r="43" spans="1:18" ht="12" customHeight="1">
      <c r="A43" s="19"/>
      <c r="B43" s="19"/>
      <c r="C43" s="19"/>
      <c r="D43" s="19"/>
      <c r="E43" s="19"/>
      <c r="F43" s="19"/>
      <c r="G43" s="19"/>
      <c r="H43" s="19" t="str">
        <f ca="1">IF($B43="","",$D43-TODAY())</f>
        <v/>
      </c>
      <c r="I43" s="19" t="str">
        <f>IF($B43="","",IF($H43&lt;0,"Expired",IF($H43&lt;=7,"0-7 days",IF($H43&lt;=14,"8-14 days",IF($H43&lt;=30,"15-30 days","30+ days")))))</f>
        <v/>
      </c>
      <c r="J43" s="19" t="str">
        <f t="shared" si="3"/>
        <v/>
      </c>
      <c r="K43" s="19" t="str">
        <f t="shared" si="4"/>
        <v/>
      </c>
      <c r="L43" s="19" t="str">
        <f t="shared" si="5"/>
        <v/>
      </c>
      <c r="M43" s="19" t="str">
        <f ca="1">IF($B43="","",IF($F43="Yes","Completed",IF($H43&lt;0,"Expired",IF(TODAY()&gt;=$L43,"3rd Reminder",IF(TODAY()&gt;=$K43,"2nd Reminder",IF(TODAY()&gt;=$J43,"1st Reminder","Not Yet"))))))</f>
        <v/>
      </c>
      <c r="N43" s="19" t="str">
        <f>IF($B43="","",IF($F43="Yes","Completed",IF($H43&lt;0,"Expired",IF(OR($F43="Pending",$F43="No",$F43="On Hold",$F43="Escalate"),IF($M43="Not Yet","Scheduled","Action Required"),"Review"))))</f>
        <v/>
      </c>
      <c r="O43" s="19" t="str">
        <f>IF($B43="","",IF(AND($N43="Action Required",$F43&lt;&gt;"Yes"),"Yes","No"))</f>
        <v/>
      </c>
      <c r="P43" s="19"/>
      <c r="Q43" s="19" t="str">
        <f>IF($B43="","",IF($O43="Yes","Ready for email batch","No email needed"))</f>
        <v/>
      </c>
      <c r="R43" s="19" t="str">
        <f>IF($B43="","",IF($F43="Yes","Stop reminders",IF($N43="Expired","Review expired item",IF($O43="Yes","Send "&amp;$M43&amp;" email to "&amp;$E43,"Monitor"))))</f>
        <v/>
      </c>
    </row>
    <row r="44" spans="1:18" ht="12" customHeight="1">
      <c r="A44" s="19"/>
      <c r="B44" s="19"/>
      <c r="C44" s="19"/>
      <c r="D44" s="19"/>
      <c r="E44" s="19"/>
      <c r="F44" s="19"/>
      <c r="G44" s="19"/>
      <c r="H44" s="19" t="str">
        <f ca="1">IF($B44="","",$D44-TODAY())</f>
        <v/>
      </c>
      <c r="I44" s="19" t="str">
        <f>IF($B44="","",IF($H44&lt;0,"Expired",IF($H44&lt;=7,"0-7 days",IF($H44&lt;=14,"8-14 days",IF($H44&lt;=30,"15-30 days","30+ days")))))</f>
        <v/>
      </c>
      <c r="J44" s="19" t="str">
        <f t="shared" si="3"/>
        <v/>
      </c>
      <c r="K44" s="19" t="str">
        <f t="shared" si="4"/>
        <v/>
      </c>
      <c r="L44" s="19" t="str">
        <f t="shared" si="5"/>
        <v/>
      </c>
      <c r="M44" s="19" t="str">
        <f ca="1">IF($B44="","",IF($F44="Yes","Completed",IF($H44&lt;0,"Expired",IF(TODAY()&gt;=$L44,"3rd Reminder",IF(TODAY()&gt;=$K44,"2nd Reminder",IF(TODAY()&gt;=$J44,"1st Reminder","Not Yet"))))))</f>
        <v/>
      </c>
      <c r="N44" s="19" t="str">
        <f>IF($B44="","",IF($F44="Yes","Completed",IF($H44&lt;0,"Expired",IF(OR($F44="Pending",$F44="No",$F44="On Hold",$F44="Escalate"),IF($M44="Not Yet","Scheduled","Action Required"),"Review"))))</f>
        <v/>
      </c>
      <c r="O44" s="19" t="str">
        <f>IF($B44="","",IF(AND($N44="Action Required",$F44&lt;&gt;"Yes"),"Yes","No"))</f>
        <v/>
      </c>
      <c r="P44" s="19"/>
      <c r="Q44" s="19" t="str">
        <f>IF($B44="","",IF($O44="Yes","Ready for email batch","No email needed"))</f>
        <v/>
      </c>
      <c r="R44" s="19" t="str">
        <f>IF($B44="","",IF($F44="Yes","Stop reminders",IF($N44="Expired","Review expired item",IF($O44="Yes","Send "&amp;$M44&amp;" email to "&amp;$E44,"Monitor"))))</f>
        <v/>
      </c>
    </row>
    <row r="45" spans="1:18" ht="12" customHeight="1">
      <c r="A45" s="19"/>
      <c r="B45" s="19"/>
      <c r="C45" s="19"/>
      <c r="D45" s="19"/>
      <c r="E45" s="19"/>
      <c r="F45" s="19"/>
      <c r="G45" s="19"/>
      <c r="H45" s="19" t="str">
        <f ca="1">IF($B45="","",$D45-TODAY())</f>
        <v/>
      </c>
      <c r="I45" s="19" t="str">
        <f>IF($B45="","",IF($H45&lt;0,"Expired",IF($H45&lt;=7,"0-7 days",IF($H45&lt;=14,"8-14 days",IF($H45&lt;=30,"15-30 days","30+ days")))))</f>
        <v/>
      </c>
      <c r="J45" s="19" t="str">
        <f t="shared" si="3"/>
        <v/>
      </c>
      <c r="K45" s="19" t="str">
        <f t="shared" si="4"/>
        <v/>
      </c>
      <c r="L45" s="19" t="str">
        <f t="shared" si="5"/>
        <v/>
      </c>
      <c r="M45" s="19" t="str">
        <f ca="1">IF($B45="","",IF($F45="Yes","Completed",IF($H45&lt;0,"Expired",IF(TODAY()&gt;=$L45,"3rd Reminder",IF(TODAY()&gt;=$K45,"2nd Reminder",IF(TODAY()&gt;=$J45,"1st Reminder","Not Yet"))))))</f>
        <v/>
      </c>
      <c r="N45" s="19" t="str">
        <f>IF($B45="","",IF($F45="Yes","Completed",IF($H45&lt;0,"Expired",IF(OR($F45="Pending",$F45="No",$F45="On Hold",$F45="Escalate"),IF($M45="Not Yet","Scheduled","Action Required"),"Review"))))</f>
        <v/>
      </c>
      <c r="O45" s="19" t="str">
        <f>IF($B45="","",IF(AND($N45="Action Required",$F45&lt;&gt;"Yes"),"Yes","No"))</f>
        <v/>
      </c>
      <c r="P45" s="19"/>
      <c r="Q45" s="19" t="str">
        <f>IF($B45="","",IF($O45="Yes","Ready for email batch","No email needed"))</f>
        <v/>
      </c>
      <c r="R45" s="19" t="str">
        <f>IF($B45="","",IF($F45="Yes","Stop reminders",IF($N45="Expired","Review expired item",IF($O45="Yes","Send "&amp;$M45&amp;" email to "&amp;$E45,"Monitor"))))</f>
        <v/>
      </c>
    </row>
    <row r="46" spans="1:18" ht="12" customHeight="1">
      <c r="A46" s="19"/>
      <c r="B46" s="19"/>
      <c r="C46" s="19"/>
      <c r="D46" s="19"/>
      <c r="E46" s="19"/>
      <c r="F46" s="19"/>
      <c r="G46" s="19"/>
      <c r="H46" s="19" t="str">
        <f ca="1">IF($B46="","",$D46-TODAY())</f>
        <v/>
      </c>
      <c r="I46" s="19" t="str">
        <f>IF($B46="","",IF($H46&lt;0,"Expired",IF($H46&lt;=7,"0-7 days",IF($H46&lt;=14,"8-14 days",IF($H46&lt;=30,"15-30 days","30+ days")))))</f>
        <v/>
      </c>
      <c r="J46" s="19" t="str">
        <f t="shared" si="3"/>
        <v/>
      </c>
      <c r="K46" s="19" t="str">
        <f t="shared" si="4"/>
        <v/>
      </c>
      <c r="L46" s="19" t="str">
        <f t="shared" si="5"/>
        <v/>
      </c>
      <c r="M46" s="19" t="str">
        <f ca="1">IF($B46="","",IF($F46="Yes","Completed",IF($H46&lt;0,"Expired",IF(TODAY()&gt;=$L46,"3rd Reminder",IF(TODAY()&gt;=$K46,"2nd Reminder",IF(TODAY()&gt;=$J46,"1st Reminder","Not Yet"))))))</f>
        <v/>
      </c>
      <c r="N46" s="19" t="str">
        <f>IF($B46="","",IF($F46="Yes","Completed",IF($H46&lt;0,"Expired",IF(OR($F46="Pending",$F46="No",$F46="On Hold",$F46="Escalate"),IF($M46="Not Yet","Scheduled","Action Required"),"Review"))))</f>
        <v/>
      </c>
      <c r="O46" s="19" t="str">
        <f>IF($B46="","",IF(AND($N46="Action Required",$F46&lt;&gt;"Yes"),"Yes","No"))</f>
        <v/>
      </c>
      <c r="P46" s="19"/>
      <c r="Q46" s="19" t="str">
        <f>IF($B46="","",IF($O46="Yes","Ready for email batch","No email needed"))</f>
        <v/>
      </c>
      <c r="R46" s="19" t="str">
        <f>IF($B46="","",IF($F46="Yes","Stop reminders",IF($N46="Expired","Review expired item",IF($O46="Yes","Send "&amp;$M46&amp;" email to "&amp;$E46,"Monitor"))))</f>
        <v/>
      </c>
    </row>
    <row r="47" spans="1:18" ht="12" customHeight="1">
      <c r="A47" s="19"/>
      <c r="B47" s="19"/>
      <c r="C47" s="19"/>
      <c r="D47" s="19"/>
      <c r="E47" s="19"/>
      <c r="F47" s="19"/>
      <c r="G47" s="19"/>
      <c r="H47" s="19" t="str">
        <f ca="1">IF($B47="","",$D47-TODAY())</f>
        <v/>
      </c>
      <c r="I47" s="19" t="str">
        <f>IF($B47="","",IF($H47&lt;0,"Expired",IF($H47&lt;=7,"0-7 days",IF($H47&lt;=14,"8-14 days",IF($H47&lt;=30,"15-30 days","30+ days")))))</f>
        <v/>
      </c>
      <c r="J47" s="19" t="str">
        <f t="shared" si="3"/>
        <v/>
      </c>
      <c r="K47" s="19" t="str">
        <f t="shared" si="4"/>
        <v/>
      </c>
      <c r="L47" s="19" t="str">
        <f t="shared" si="5"/>
        <v/>
      </c>
      <c r="M47" s="19" t="str">
        <f ca="1">IF($B47="","",IF($F47="Yes","Completed",IF($H47&lt;0,"Expired",IF(TODAY()&gt;=$L47,"3rd Reminder",IF(TODAY()&gt;=$K47,"2nd Reminder",IF(TODAY()&gt;=$J47,"1st Reminder","Not Yet"))))))</f>
        <v/>
      </c>
      <c r="N47" s="19" t="str">
        <f>IF($B47="","",IF($F47="Yes","Completed",IF($H47&lt;0,"Expired",IF(OR($F47="Pending",$F47="No",$F47="On Hold",$F47="Escalate"),IF($M47="Not Yet","Scheduled","Action Required"),"Review"))))</f>
        <v/>
      </c>
      <c r="O47" s="19" t="str">
        <f>IF($B47="","",IF(AND($N47="Action Required",$F47&lt;&gt;"Yes"),"Yes","No"))</f>
        <v/>
      </c>
      <c r="P47" s="19"/>
      <c r="Q47" s="19" t="str">
        <f>IF($B47="","",IF($O47="Yes","Ready for email batch","No email needed"))</f>
        <v/>
      </c>
      <c r="R47" s="19" t="str">
        <f>IF($B47="","",IF($F47="Yes","Stop reminders",IF($N47="Expired","Review expired item",IF($O47="Yes","Send "&amp;$M47&amp;" email to "&amp;$E47,"Monitor"))))</f>
        <v/>
      </c>
    </row>
    <row r="48" spans="1:18" ht="12" customHeight="1">
      <c r="A48" s="19"/>
      <c r="B48" s="19"/>
      <c r="C48" s="19"/>
      <c r="D48" s="19"/>
      <c r="E48" s="19"/>
      <c r="F48" s="19"/>
      <c r="G48" s="19"/>
      <c r="H48" s="19" t="str">
        <f ca="1">IF($B48="","",$D48-TODAY())</f>
        <v/>
      </c>
      <c r="I48" s="19" t="str">
        <f>IF($B48="","",IF($H48&lt;0,"Expired",IF($H48&lt;=7,"0-7 days",IF($H48&lt;=14,"8-14 days",IF($H48&lt;=30,"15-30 days","30+ days")))))</f>
        <v/>
      </c>
      <c r="J48" s="19" t="str">
        <f t="shared" si="3"/>
        <v/>
      </c>
      <c r="K48" s="19" t="str">
        <f t="shared" si="4"/>
        <v/>
      </c>
      <c r="L48" s="19" t="str">
        <f t="shared" si="5"/>
        <v/>
      </c>
      <c r="M48" s="19" t="str">
        <f ca="1">IF($B48="","",IF($F48="Yes","Completed",IF($H48&lt;0,"Expired",IF(TODAY()&gt;=$L48,"3rd Reminder",IF(TODAY()&gt;=$K48,"2nd Reminder",IF(TODAY()&gt;=$J48,"1st Reminder","Not Yet"))))))</f>
        <v/>
      </c>
      <c r="N48" s="19" t="str">
        <f>IF($B48="","",IF($F48="Yes","Completed",IF($H48&lt;0,"Expired",IF(OR($F48="Pending",$F48="No",$F48="On Hold",$F48="Escalate"),IF($M48="Not Yet","Scheduled","Action Required"),"Review"))))</f>
        <v/>
      </c>
      <c r="O48" s="19" t="str">
        <f>IF($B48="","",IF(AND($N48="Action Required",$F48&lt;&gt;"Yes"),"Yes","No"))</f>
        <v/>
      </c>
      <c r="P48" s="19"/>
      <c r="Q48" s="19" t="str">
        <f>IF($B48="","",IF($O48="Yes","Ready for email batch","No email needed"))</f>
        <v/>
      </c>
      <c r="R48" s="19" t="str">
        <f>IF($B48="","",IF($F48="Yes","Stop reminders",IF($N48="Expired","Review expired item",IF($O48="Yes","Send "&amp;$M48&amp;" email to "&amp;$E48,"Monitor"))))</f>
        <v/>
      </c>
    </row>
    <row r="49" spans="1:18" ht="12" customHeight="1">
      <c r="A49" s="19"/>
      <c r="B49" s="19"/>
      <c r="C49" s="19"/>
      <c r="D49" s="19"/>
      <c r="E49" s="19"/>
      <c r="F49" s="19"/>
      <c r="G49" s="19"/>
      <c r="H49" s="19" t="str">
        <f ca="1">IF($B49="","",$D49-TODAY())</f>
        <v/>
      </c>
      <c r="I49" s="19" t="str">
        <f>IF($B49="","",IF($H49&lt;0,"Expired",IF($H49&lt;=7,"0-7 days",IF($H49&lt;=14,"8-14 days",IF($H49&lt;=30,"15-30 days","30+ days")))))</f>
        <v/>
      </c>
      <c r="J49" s="19" t="str">
        <f t="shared" si="3"/>
        <v/>
      </c>
      <c r="K49" s="19" t="str">
        <f t="shared" si="4"/>
        <v/>
      </c>
      <c r="L49" s="19" t="str">
        <f t="shared" si="5"/>
        <v/>
      </c>
      <c r="M49" s="19" t="str">
        <f ca="1">IF($B49="","",IF($F49="Yes","Completed",IF($H49&lt;0,"Expired",IF(TODAY()&gt;=$L49,"3rd Reminder",IF(TODAY()&gt;=$K49,"2nd Reminder",IF(TODAY()&gt;=$J49,"1st Reminder","Not Yet"))))))</f>
        <v/>
      </c>
      <c r="N49" s="19" t="str">
        <f>IF($B49="","",IF($F49="Yes","Completed",IF($H49&lt;0,"Expired",IF(OR($F49="Pending",$F49="No",$F49="On Hold",$F49="Escalate"),IF($M49="Not Yet","Scheduled","Action Required"),"Review"))))</f>
        <v/>
      </c>
      <c r="O49" s="19" t="str">
        <f>IF($B49="","",IF(AND($N49="Action Required",$F49&lt;&gt;"Yes"),"Yes","No"))</f>
        <v/>
      </c>
      <c r="P49" s="19"/>
      <c r="Q49" s="19" t="str">
        <f>IF($B49="","",IF($O49="Yes","Ready for email batch","No email needed"))</f>
        <v/>
      </c>
      <c r="R49" s="19" t="str">
        <f>IF($B49="","",IF($F49="Yes","Stop reminders",IF($N49="Expired","Review expired item",IF($O49="Yes","Send "&amp;$M49&amp;" email to "&amp;$E49,"Monitor"))))</f>
        <v/>
      </c>
    </row>
    <row r="50" spans="1:18" ht="12" customHeight="1">
      <c r="A50" s="19"/>
      <c r="B50" s="19"/>
      <c r="C50" s="19"/>
      <c r="D50" s="19"/>
      <c r="E50" s="19"/>
      <c r="F50" s="19"/>
      <c r="G50" s="19"/>
      <c r="H50" s="19" t="str">
        <f ca="1">IF($B50="","",$D50-TODAY())</f>
        <v/>
      </c>
      <c r="I50" s="19" t="str">
        <f>IF($B50="","",IF($H50&lt;0,"Expired",IF($H50&lt;=7,"0-7 days",IF($H50&lt;=14,"8-14 days",IF($H50&lt;=30,"15-30 days","30+ days")))))</f>
        <v/>
      </c>
      <c r="J50" s="19" t="str">
        <f t="shared" si="3"/>
        <v/>
      </c>
      <c r="K50" s="19" t="str">
        <f t="shared" si="4"/>
        <v/>
      </c>
      <c r="L50" s="19" t="str">
        <f t="shared" si="5"/>
        <v/>
      </c>
      <c r="M50" s="19" t="str">
        <f ca="1">IF($B50="","",IF($F50="Yes","Completed",IF($H50&lt;0,"Expired",IF(TODAY()&gt;=$L50,"3rd Reminder",IF(TODAY()&gt;=$K50,"2nd Reminder",IF(TODAY()&gt;=$J50,"1st Reminder","Not Yet"))))))</f>
        <v/>
      </c>
      <c r="N50" s="19" t="str">
        <f>IF($B50="","",IF($F50="Yes","Completed",IF($H50&lt;0,"Expired",IF(OR($F50="Pending",$F50="No",$F50="On Hold",$F50="Escalate"),IF($M50="Not Yet","Scheduled","Action Required"),"Review"))))</f>
        <v/>
      </c>
      <c r="O50" s="19" t="str">
        <f>IF($B50="","",IF(AND($N50="Action Required",$F50&lt;&gt;"Yes"),"Yes","No"))</f>
        <v/>
      </c>
      <c r="P50" s="19"/>
      <c r="Q50" s="19" t="str">
        <f>IF($B50="","",IF($O50="Yes","Ready for email batch","No email needed"))</f>
        <v/>
      </c>
      <c r="R50" s="19" t="str">
        <f>IF($B50="","",IF($F50="Yes","Stop reminders",IF($N50="Expired","Review expired item",IF($O50="Yes","Send "&amp;$M50&amp;" email to "&amp;$E50,"Monitor"))))</f>
        <v/>
      </c>
    </row>
    <row r="51" spans="1:18" ht="12" customHeight="1">
      <c r="A51" s="19"/>
      <c r="B51" s="19"/>
      <c r="C51" s="19"/>
      <c r="D51" s="19"/>
      <c r="E51" s="19"/>
      <c r="F51" s="19"/>
      <c r="G51" s="19"/>
      <c r="H51" s="19" t="str">
        <f ca="1">IF($B51="","",$D51-TODAY())</f>
        <v/>
      </c>
      <c r="I51" s="19" t="str">
        <f>IF($B51="","",IF($H51&lt;0,"Expired",IF($H51&lt;=7,"0-7 days",IF($H51&lt;=14,"8-14 days",IF($H51&lt;=30,"15-30 days","30+ days")))))</f>
        <v/>
      </c>
      <c r="J51" s="19" t="str">
        <f t="shared" si="3"/>
        <v/>
      </c>
      <c r="K51" s="19" t="str">
        <f t="shared" si="4"/>
        <v/>
      </c>
      <c r="L51" s="19" t="str">
        <f t="shared" si="5"/>
        <v/>
      </c>
      <c r="M51" s="19" t="str">
        <f ca="1">IF($B51="","",IF($F51="Yes","Completed",IF($H51&lt;0,"Expired",IF(TODAY()&gt;=$L51,"3rd Reminder",IF(TODAY()&gt;=$K51,"2nd Reminder",IF(TODAY()&gt;=$J51,"1st Reminder","Not Yet"))))))</f>
        <v/>
      </c>
      <c r="N51" s="19" t="str">
        <f>IF($B51="","",IF($F51="Yes","Completed",IF($H51&lt;0,"Expired",IF(OR($F51="Pending",$F51="No",$F51="On Hold",$F51="Escalate"),IF($M51="Not Yet","Scheduled","Action Required"),"Review"))))</f>
        <v/>
      </c>
      <c r="O51" s="19" t="str">
        <f>IF($B51="","",IF(AND($N51="Action Required",$F51&lt;&gt;"Yes"),"Yes","No"))</f>
        <v/>
      </c>
      <c r="P51" s="19"/>
      <c r="Q51" s="19" t="str">
        <f>IF($B51="","",IF($O51="Yes","Ready for email batch","No email needed"))</f>
        <v/>
      </c>
      <c r="R51" s="19" t="str">
        <f>IF($B51="","",IF($F51="Yes","Stop reminders",IF($N51="Expired","Review expired item",IF($O51="Yes","Send "&amp;$M51&amp;" email to "&amp;$E51,"Monitor"))))</f>
        <v/>
      </c>
    </row>
    <row r="52" spans="1:18" ht="12" customHeight="1">
      <c r="A52" s="19"/>
      <c r="B52" s="19"/>
      <c r="C52" s="19"/>
      <c r="D52" s="19"/>
      <c r="E52" s="19"/>
      <c r="F52" s="19"/>
      <c r="G52" s="19"/>
      <c r="H52" s="19" t="str">
        <f ca="1">IF($B52="","",$D52-TODAY())</f>
        <v/>
      </c>
      <c r="I52" s="19" t="str">
        <f>IF($B52="","",IF($H52&lt;0,"Expired",IF($H52&lt;=7,"0-7 days",IF($H52&lt;=14,"8-14 days",IF($H52&lt;=30,"15-30 days","30+ days")))))</f>
        <v/>
      </c>
      <c r="J52" s="19" t="str">
        <f t="shared" si="3"/>
        <v/>
      </c>
      <c r="K52" s="19" t="str">
        <f t="shared" si="4"/>
        <v/>
      </c>
      <c r="L52" s="19" t="str">
        <f t="shared" si="5"/>
        <v/>
      </c>
      <c r="M52" s="19" t="str">
        <f ca="1">IF($B52="","",IF($F52="Yes","Completed",IF($H52&lt;0,"Expired",IF(TODAY()&gt;=$L52,"3rd Reminder",IF(TODAY()&gt;=$K52,"2nd Reminder",IF(TODAY()&gt;=$J52,"1st Reminder","Not Yet"))))))</f>
        <v/>
      </c>
      <c r="N52" s="19" t="str">
        <f>IF($B52="","",IF($F52="Yes","Completed",IF($H52&lt;0,"Expired",IF(OR($F52="Pending",$F52="No",$F52="On Hold",$F52="Escalate"),IF($M52="Not Yet","Scheduled","Action Required"),"Review"))))</f>
        <v/>
      </c>
      <c r="O52" s="19" t="str">
        <f>IF($B52="","",IF(AND($N52="Action Required",$F52&lt;&gt;"Yes"),"Yes","No"))</f>
        <v/>
      </c>
      <c r="P52" s="19"/>
      <c r="Q52" s="19" t="str">
        <f>IF($B52="","",IF($O52="Yes","Ready for email batch","No email needed"))</f>
        <v/>
      </c>
      <c r="R52" s="19" t="str">
        <f>IF($B52="","",IF($F52="Yes","Stop reminders",IF($N52="Expired","Review expired item",IF($O52="Yes","Send "&amp;$M52&amp;" email to "&amp;$E52,"Monitor"))))</f>
        <v/>
      </c>
    </row>
    <row r="53" spans="1:18" ht="12" customHeight="1">
      <c r="A53" s="19"/>
      <c r="B53" s="19"/>
      <c r="C53" s="19"/>
      <c r="D53" s="19"/>
      <c r="E53" s="19"/>
      <c r="F53" s="19"/>
      <c r="G53" s="19"/>
      <c r="H53" s="19" t="str">
        <f ca="1">IF($B53="","",$D53-TODAY())</f>
        <v/>
      </c>
      <c r="I53" s="19" t="str">
        <f>IF($B53="","",IF($H53&lt;0,"Expired",IF($H53&lt;=7,"0-7 days",IF($H53&lt;=14,"8-14 days",IF($H53&lt;=30,"15-30 days","30+ days")))))</f>
        <v/>
      </c>
      <c r="J53" s="19" t="str">
        <f t="shared" si="3"/>
        <v/>
      </c>
      <c r="K53" s="19" t="str">
        <f t="shared" si="4"/>
        <v/>
      </c>
      <c r="L53" s="19" t="str">
        <f t="shared" si="5"/>
        <v/>
      </c>
      <c r="M53" s="19" t="str">
        <f ca="1">IF($B53="","",IF($F53="Yes","Completed",IF($H53&lt;0,"Expired",IF(TODAY()&gt;=$L53,"3rd Reminder",IF(TODAY()&gt;=$K53,"2nd Reminder",IF(TODAY()&gt;=$J53,"1st Reminder","Not Yet"))))))</f>
        <v/>
      </c>
      <c r="N53" s="19" t="str">
        <f>IF($B53="","",IF($F53="Yes","Completed",IF($H53&lt;0,"Expired",IF(OR($F53="Pending",$F53="No",$F53="On Hold",$F53="Escalate"),IF($M53="Not Yet","Scheduled","Action Required"),"Review"))))</f>
        <v/>
      </c>
      <c r="O53" s="19" t="str">
        <f>IF($B53="","",IF(AND($N53="Action Required",$F53&lt;&gt;"Yes"),"Yes","No"))</f>
        <v/>
      </c>
      <c r="P53" s="19"/>
      <c r="Q53" s="19" t="str">
        <f>IF($B53="","",IF($O53="Yes","Ready for email batch","No email needed"))</f>
        <v/>
      </c>
      <c r="R53" s="19" t="str">
        <f>IF($B53="","",IF($F53="Yes","Stop reminders",IF($N53="Expired","Review expired item",IF($O53="Yes","Send "&amp;$M53&amp;" email to "&amp;$E53,"Monitor"))))</f>
        <v/>
      </c>
    </row>
    <row r="54" spans="1:18" ht="12" customHeight="1">
      <c r="A54" s="19"/>
      <c r="B54" s="19"/>
      <c r="C54" s="19"/>
      <c r="D54" s="19"/>
      <c r="E54" s="19"/>
      <c r="F54" s="19"/>
      <c r="G54" s="19"/>
      <c r="H54" s="19" t="str">
        <f ca="1">IF($B54="","",$D54-TODAY())</f>
        <v/>
      </c>
      <c r="I54" s="19" t="str">
        <f>IF($B54="","",IF($H54&lt;0,"Expired",IF($H54&lt;=7,"0-7 days",IF($H54&lt;=14,"8-14 days",IF($H54&lt;=30,"15-30 days","30+ days")))))</f>
        <v/>
      </c>
      <c r="J54" s="19" t="str">
        <f t="shared" si="3"/>
        <v/>
      </c>
      <c r="K54" s="19" t="str">
        <f t="shared" si="4"/>
        <v/>
      </c>
      <c r="L54" s="19" t="str">
        <f t="shared" si="5"/>
        <v/>
      </c>
      <c r="M54" s="19" t="str">
        <f ca="1">IF($B54="","",IF($F54="Yes","Completed",IF($H54&lt;0,"Expired",IF(TODAY()&gt;=$L54,"3rd Reminder",IF(TODAY()&gt;=$K54,"2nd Reminder",IF(TODAY()&gt;=$J54,"1st Reminder","Not Yet"))))))</f>
        <v/>
      </c>
      <c r="N54" s="19" t="str">
        <f>IF($B54="","",IF($F54="Yes","Completed",IF($H54&lt;0,"Expired",IF(OR($F54="Pending",$F54="No",$F54="On Hold",$F54="Escalate"),IF($M54="Not Yet","Scheduled","Action Required"),"Review"))))</f>
        <v/>
      </c>
      <c r="O54" s="19" t="str">
        <f>IF($B54="","",IF(AND($N54="Action Required",$F54&lt;&gt;"Yes"),"Yes","No"))</f>
        <v/>
      </c>
      <c r="P54" s="19"/>
      <c r="Q54" s="19" t="str">
        <f>IF($B54="","",IF($O54="Yes","Ready for email batch","No email needed"))</f>
        <v/>
      </c>
      <c r="R54" s="19" t="str">
        <f>IF($B54="","",IF($F54="Yes","Stop reminders",IF($N54="Expired","Review expired item",IF($O54="Yes","Send "&amp;$M54&amp;" email to "&amp;$E54,"Monitor"))))</f>
        <v/>
      </c>
    </row>
    <row r="55" spans="1:18" ht="12" customHeight="1">
      <c r="A55" s="19"/>
      <c r="B55" s="19"/>
      <c r="C55" s="19"/>
      <c r="D55" s="19"/>
      <c r="E55" s="19"/>
      <c r="F55" s="19"/>
      <c r="G55" s="19"/>
      <c r="H55" s="19" t="str">
        <f ca="1">IF($B55="","",$D55-TODAY())</f>
        <v/>
      </c>
      <c r="I55" s="19" t="str">
        <f>IF($B55="","",IF($H55&lt;0,"Expired",IF($H55&lt;=7,"0-7 days",IF($H55&lt;=14,"8-14 days",IF($H55&lt;=30,"15-30 days","30+ days")))))</f>
        <v/>
      </c>
      <c r="J55" s="19" t="str">
        <f t="shared" si="3"/>
        <v/>
      </c>
      <c r="K55" s="19" t="str">
        <f t="shared" si="4"/>
        <v/>
      </c>
      <c r="L55" s="19" t="str">
        <f t="shared" si="5"/>
        <v/>
      </c>
      <c r="M55" s="19" t="str">
        <f ca="1">IF($B55="","",IF($F55="Yes","Completed",IF($H55&lt;0,"Expired",IF(TODAY()&gt;=$L55,"3rd Reminder",IF(TODAY()&gt;=$K55,"2nd Reminder",IF(TODAY()&gt;=$J55,"1st Reminder","Not Yet"))))))</f>
        <v/>
      </c>
      <c r="N55" s="19" t="str">
        <f>IF($B55="","",IF($F55="Yes","Completed",IF($H55&lt;0,"Expired",IF(OR($F55="Pending",$F55="No",$F55="On Hold",$F55="Escalate"),IF($M55="Not Yet","Scheduled","Action Required"),"Review"))))</f>
        <v/>
      </c>
      <c r="O55" s="19" t="str">
        <f>IF($B55="","",IF(AND($N55="Action Required",$F55&lt;&gt;"Yes"),"Yes","No"))</f>
        <v/>
      </c>
      <c r="P55" s="19"/>
      <c r="Q55" s="19" t="str">
        <f>IF($B55="","",IF($O55="Yes","Ready for email batch","No email needed"))</f>
        <v/>
      </c>
      <c r="R55" s="19" t="str">
        <f>IF($B55="","",IF($F55="Yes","Stop reminders",IF($N55="Expired","Review expired item",IF($O55="Yes","Send "&amp;$M55&amp;" email to "&amp;$E55,"Monitor"))))</f>
        <v/>
      </c>
    </row>
    <row r="56" spans="1:18" ht="12" customHeight="1">
      <c r="A56" s="19"/>
      <c r="B56" s="19"/>
      <c r="C56" s="19"/>
      <c r="D56" s="19"/>
      <c r="E56" s="19"/>
      <c r="F56" s="19"/>
      <c r="G56" s="19"/>
      <c r="H56" s="19" t="str">
        <f ca="1">IF($B56="","",$D56-TODAY())</f>
        <v/>
      </c>
      <c r="I56" s="19" t="str">
        <f>IF($B56="","",IF($H56&lt;0,"Expired",IF($H56&lt;=7,"0-7 days",IF($H56&lt;=14,"8-14 days",IF($H56&lt;=30,"15-30 days","30+ days")))))</f>
        <v/>
      </c>
      <c r="J56" s="19" t="str">
        <f t="shared" si="3"/>
        <v/>
      </c>
      <c r="K56" s="19" t="str">
        <f t="shared" si="4"/>
        <v/>
      </c>
      <c r="L56" s="19" t="str">
        <f t="shared" si="5"/>
        <v/>
      </c>
      <c r="M56" s="19" t="str">
        <f ca="1">IF($B56="","",IF($F56="Yes","Completed",IF($H56&lt;0,"Expired",IF(TODAY()&gt;=$L56,"3rd Reminder",IF(TODAY()&gt;=$K56,"2nd Reminder",IF(TODAY()&gt;=$J56,"1st Reminder","Not Yet"))))))</f>
        <v/>
      </c>
      <c r="N56" s="19" t="str">
        <f>IF($B56="","",IF($F56="Yes","Completed",IF($H56&lt;0,"Expired",IF(OR($F56="Pending",$F56="No",$F56="On Hold",$F56="Escalate"),IF($M56="Not Yet","Scheduled","Action Required"),"Review"))))</f>
        <v/>
      </c>
      <c r="O56" s="19" t="str">
        <f>IF($B56="","",IF(AND($N56="Action Required",$F56&lt;&gt;"Yes"),"Yes","No"))</f>
        <v/>
      </c>
      <c r="P56" s="19"/>
      <c r="Q56" s="19" t="str">
        <f>IF($B56="","",IF($O56="Yes","Ready for email batch","No email needed"))</f>
        <v/>
      </c>
      <c r="R56" s="19" t="str">
        <f>IF($B56="","",IF($F56="Yes","Stop reminders",IF($N56="Expired","Review expired item",IF($O56="Yes","Send "&amp;$M56&amp;" email to "&amp;$E56,"Monitor"))))</f>
        <v/>
      </c>
    </row>
    <row r="57" spans="1:18" ht="12" customHeight="1">
      <c r="A57" s="19"/>
      <c r="B57" s="19"/>
      <c r="C57" s="19"/>
      <c r="D57" s="19"/>
      <c r="E57" s="19"/>
      <c r="F57" s="19"/>
      <c r="G57" s="19"/>
      <c r="H57" s="19" t="str">
        <f ca="1">IF($B57="","",$D57-TODAY())</f>
        <v/>
      </c>
      <c r="I57" s="19" t="str">
        <f>IF($B57="","",IF($H57&lt;0,"Expired",IF($H57&lt;=7,"0-7 days",IF($H57&lt;=14,"8-14 days",IF($H57&lt;=30,"15-30 days","30+ days")))))</f>
        <v/>
      </c>
      <c r="J57" s="19" t="str">
        <f t="shared" si="3"/>
        <v/>
      </c>
      <c r="K57" s="19" t="str">
        <f t="shared" si="4"/>
        <v/>
      </c>
      <c r="L57" s="19" t="str">
        <f t="shared" si="5"/>
        <v/>
      </c>
      <c r="M57" s="19" t="str">
        <f ca="1">IF($B57="","",IF($F57="Yes","Completed",IF($H57&lt;0,"Expired",IF(TODAY()&gt;=$L57,"3rd Reminder",IF(TODAY()&gt;=$K57,"2nd Reminder",IF(TODAY()&gt;=$J57,"1st Reminder","Not Yet"))))))</f>
        <v/>
      </c>
      <c r="N57" s="19" t="str">
        <f>IF($B57="","",IF($F57="Yes","Completed",IF($H57&lt;0,"Expired",IF(OR($F57="Pending",$F57="No",$F57="On Hold",$F57="Escalate"),IF($M57="Not Yet","Scheduled","Action Required"),"Review"))))</f>
        <v/>
      </c>
      <c r="O57" s="19" t="str">
        <f>IF($B57="","",IF(AND($N57="Action Required",$F57&lt;&gt;"Yes"),"Yes","No"))</f>
        <v/>
      </c>
      <c r="P57" s="19"/>
      <c r="Q57" s="19" t="str">
        <f>IF($B57="","",IF($O57="Yes","Ready for email batch","No email needed"))</f>
        <v/>
      </c>
      <c r="R57" s="19" t="str">
        <f>IF($B57="","",IF($F57="Yes","Stop reminders",IF($N57="Expired","Review expired item",IF($O57="Yes","Send "&amp;$M57&amp;" email to "&amp;$E57,"Monitor"))))</f>
        <v/>
      </c>
    </row>
    <row r="58" spans="1:18" ht="12" customHeight="1">
      <c r="A58" s="19"/>
      <c r="B58" s="19"/>
      <c r="C58" s="19"/>
      <c r="D58" s="19"/>
      <c r="E58" s="19"/>
      <c r="F58" s="19"/>
      <c r="G58" s="19"/>
      <c r="H58" s="19" t="str">
        <f ca="1">IF($B58="","",$D58-TODAY())</f>
        <v/>
      </c>
      <c r="I58" s="19" t="str">
        <f>IF($B58="","",IF($H58&lt;0,"Expired",IF($H58&lt;=7,"0-7 days",IF($H58&lt;=14,"8-14 days",IF($H58&lt;=30,"15-30 days","30+ days")))))</f>
        <v/>
      </c>
      <c r="J58" s="19" t="str">
        <f t="shared" si="3"/>
        <v/>
      </c>
      <c r="K58" s="19" t="str">
        <f t="shared" si="4"/>
        <v/>
      </c>
      <c r="L58" s="19" t="str">
        <f t="shared" si="5"/>
        <v/>
      </c>
      <c r="M58" s="19" t="str">
        <f ca="1">IF($B58="","",IF($F58="Yes","Completed",IF($H58&lt;0,"Expired",IF(TODAY()&gt;=$L58,"3rd Reminder",IF(TODAY()&gt;=$K58,"2nd Reminder",IF(TODAY()&gt;=$J58,"1st Reminder","Not Yet"))))))</f>
        <v/>
      </c>
      <c r="N58" s="19" t="str">
        <f>IF($B58="","",IF($F58="Yes","Completed",IF($H58&lt;0,"Expired",IF(OR($F58="Pending",$F58="No",$F58="On Hold",$F58="Escalate"),IF($M58="Not Yet","Scheduled","Action Required"),"Review"))))</f>
        <v/>
      </c>
      <c r="O58" s="19" t="str">
        <f>IF($B58="","",IF(AND($N58="Action Required",$F58&lt;&gt;"Yes"),"Yes","No"))</f>
        <v/>
      </c>
      <c r="P58" s="19"/>
      <c r="Q58" s="19" t="str">
        <f>IF($B58="","",IF($O58="Yes","Ready for email batch","No email needed"))</f>
        <v/>
      </c>
      <c r="R58" s="19" t="str">
        <f>IF($B58="","",IF($F58="Yes","Stop reminders",IF($N58="Expired","Review expired item",IF($O58="Yes","Send "&amp;$M58&amp;" email to "&amp;$E58,"Monitor"))))</f>
        <v/>
      </c>
    </row>
    <row r="59" spans="1:18" ht="12" customHeight="1">
      <c r="A59" s="19"/>
      <c r="B59" s="19"/>
      <c r="C59" s="19"/>
      <c r="D59" s="19"/>
      <c r="E59" s="19"/>
      <c r="F59" s="19"/>
      <c r="G59" s="19"/>
      <c r="H59" s="19" t="str">
        <f ca="1">IF($B59="","",$D59-TODAY())</f>
        <v/>
      </c>
      <c r="I59" s="19" t="str">
        <f>IF($B59="","",IF($H59&lt;0,"Expired",IF($H59&lt;=7,"0-7 days",IF($H59&lt;=14,"8-14 days",IF($H59&lt;=30,"15-30 days","30+ days")))))</f>
        <v/>
      </c>
      <c r="J59" s="19" t="str">
        <f t="shared" si="3"/>
        <v/>
      </c>
      <c r="K59" s="19" t="str">
        <f t="shared" si="4"/>
        <v/>
      </c>
      <c r="L59" s="19" t="str">
        <f t="shared" si="5"/>
        <v/>
      </c>
      <c r="M59" s="19" t="str">
        <f ca="1">IF($B59="","",IF($F59="Yes","Completed",IF($H59&lt;0,"Expired",IF(TODAY()&gt;=$L59,"3rd Reminder",IF(TODAY()&gt;=$K59,"2nd Reminder",IF(TODAY()&gt;=$J59,"1st Reminder","Not Yet"))))))</f>
        <v/>
      </c>
      <c r="N59" s="19" t="str">
        <f>IF($B59="","",IF($F59="Yes","Completed",IF($H59&lt;0,"Expired",IF(OR($F59="Pending",$F59="No",$F59="On Hold",$F59="Escalate"),IF($M59="Not Yet","Scheduled","Action Required"),"Review"))))</f>
        <v/>
      </c>
      <c r="O59" s="19" t="str">
        <f>IF($B59="","",IF(AND($N59="Action Required",$F59&lt;&gt;"Yes"),"Yes","No"))</f>
        <v/>
      </c>
      <c r="P59" s="19"/>
      <c r="Q59" s="19" t="str">
        <f>IF($B59="","",IF($O59="Yes","Ready for email batch","No email needed"))</f>
        <v/>
      </c>
      <c r="R59" s="19" t="str">
        <f>IF($B59="","",IF($F59="Yes","Stop reminders",IF($N59="Expired","Review expired item",IF($O59="Yes","Send "&amp;$M59&amp;" email to "&amp;$E59,"Monitor"))))</f>
        <v/>
      </c>
    </row>
    <row r="60" spans="1:18" ht="12" customHeight="1">
      <c r="A60" s="19"/>
      <c r="B60" s="19"/>
      <c r="C60" s="19"/>
      <c r="D60" s="19"/>
      <c r="E60" s="19"/>
      <c r="F60" s="19"/>
      <c r="G60" s="19"/>
      <c r="H60" s="19" t="str">
        <f ca="1">IF($B60="","",$D60-TODAY())</f>
        <v/>
      </c>
      <c r="I60" s="19" t="str">
        <f>IF($B60="","",IF($H60&lt;0,"Expired",IF($H60&lt;=7,"0-7 days",IF($H60&lt;=14,"8-14 days",IF($H60&lt;=30,"15-30 days","30+ days")))))</f>
        <v/>
      </c>
      <c r="J60" s="19" t="str">
        <f t="shared" si="3"/>
        <v/>
      </c>
      <c r="K60" s="19" t="str">
        <f t="shared" si="4"/>
        <v/>
      </c>
      <c r="L60" s="19" t="str">
        <f t="shared" si="5"/>
        <v/>
      </c>
      <c r="M60" s="19" t="str">
        <f ca="1">IF($B60="","",IF($F60="Yes","Completed",IF($H60&lt;0,"Expired",IF(TODAY()&gt;=$L60,"3rd Reminder",IF(TODAY()&gt;=$K60,"2nd Reminder",IF(TODAY()&gt;=$J60,"1st Reminder","Not Yet"))))))</f>
        <v/>
      </c>
      <c r="N60" s="19" t="str">
        <f>IF($B60="","",IF($F60="Yes","Completed",IF($H60&lt;0,"Expired",IF(OR($F60="Pending",$F60="No",$F60="On Hold",$F60="Escalate"),IF($M60="Not Yet","Scheduled","Action Required"),"Review"))))</f>
        <v/>
      </c>
      <c r="O60" s="19" t="str">
        <f>IF($B60="","",IF(AND($N60="Action Required",$F60&lt;&gt;"Yes"),"Yes","No"))</f>
        <v/>
      </c>
      <c r="P60" s="19"/>
      <c r="Q60" s="19" t="str">
        <f>IF($B60="","",IF($O60="Yes","Ready for email batch","No email needed"))</f>
        <v/>
      </c>
      <c r="R60" s="19" t="str">
        <f>IF($B60="","",IF($F60="Yes","Stop reminders",IF($N60="Expired","Review expired item",IF($O60="Yes","Send "&amp;$M60&amp;" email to "&amp;$E60,"Monitor"))))</f>
        <v/>
      </c>
    </row>
    <row r="61" spans="1:18" ht="12" customHeight="1">
      <c r="A61" s="19"/>
      <c r="B61" s="19"/>
      <c r="C61" s="19"/>
      <c r="D61" s="19"/>
      <c r="E61" s="19"/>
      <c r="F61" s="19"/>
      <c r="G61" s="19"/>
      <c r="H61" s="19" t="str">
        <f ca="1">IF($B61="","",$D61-TODAY())</f>
        <v/>
      </c>
      <c r="I61" s="19" t="str">
        <f>IF($B61="","",IF($H61&lt;0,"Expired",IF($H61&lt;=7,"0-7 days",IF($H61&lt;=14,"8-14 days",IF($H61&lt;=30,"15-30 days","30+ days")))))</f>
        <v/>
      </c>
      <c r="J61" s="19" t="str">
        <f t="shared" si="3"/>
        <v/>
      </c>
      <c r="K61" s="19" t="str">
        <f t="shared" si="4"/>
        <v/>
      </c>
      <c r="L61" s="19" t="str">
        <f t="shared" si="5"/>
        <v/>
      </c>
      <c r="M61" s="19" t="str">
        <f ca="1">IF($B61="","",IF($F61="Yes","Completed",IF($H61&lt;0,"Expired",IF(TODAY()&gt;=$L61,"3rd Reminder",IF(TODAY()&gt;=$K61,"2nd Reminder",IF(TODAY()&gt;=$J61,"1st Reminder","Not Yet"))))))</f>
        <v/>
      </c>
      <c r="N61" s="19" t="str">
        <f>IF($B61="","",IF($F61="Yes","Completed",IF($H61&lt;0,"Expired",IF(OR($F61="Pending",$F61="No",$F61="On Hold",$F61="Escalate"),IF($M61="Not Yet","Scheduled","Action Required"),"Review"))))</f>
        <v/>
      </c>
      <c r="O61" s="19" t="str">
        <f>IF($B61="","",IF(AND($N61="Action Required",$F61&lt;&gt;"Yes"),"Yes","No"))</f>
        <v/>
      </c>
      <c r="P61" s="19"/>
      <c r="Q61" s="19" t="str">
        <f>IF($B61="","",IF($O61="Yes","Ready for email batch","No email needed"))</f>
        <v/>
      </c>
      <c r="R61" s="19" t="str">
        <f>IF($B61="","",IF($F61="Yes","Stop reminders",IF($N61="Expired","Review expired item",IF($O61="Yes","Send "&amp;$M61&amp;" email to "&amp;$E61,"Monitor"))))</f>
        <v/>
      </c>
    </row>
    <row r="62" spans="1:18" ht="12" customHeight="1">
      <c r="A62" s="19"/>
      <c r="B62" s="19"/>
      <c r="C62" s="19"/>
      <c r="D62" s="19"/>
      <c r="E62" s="19"/>
      <c r="F62" s="19"/>
      <c r="G62" s="19"/>
      <c r="H62" s="19" t="str">
        <f ca="1">IF($B62="","",$D62-TODAY())</f>
        <v/>
      </c>
      <c r="I62" s="19" t="str">
        <f>IF($B62="","",IF($H62&lt;0,"Expired",IF($H62&lt;=7,"0-7 days",IF($H62&lt;=14,"8-14 days",IF($H62&lt;=30,"15-30 days","30+ days")))))</f>
        <v/>
      </c>
      <c r="J62" s="19" t="str">
        <f t="shared" si="3"/>
        <v/>
      </c>
      <c r="K62" s="19" t="str">
        <f t="shared" si="4"/>
        <v/>
      </c>
      <c r="L62" s="19" t="str">
        <f t="shared" si="5"/>
        <v/>
      </c>
      <c r="M62" s="19" t="str">
        <f ca="1">IF($B62="","",IF($F62="Yes","Completed",IF($H62&lt;0,"Expired",IF(TODAY()&gt;=$L62,"3rd Reminder",IF(TODAY()&gt;=$K62,"2nd Reminder",IF(TODAY()&gt;=$J62,"1st Reminder","Not Yet"))))))</f>
        <v/>
      </c>
      <c r="N62" s="19" t="str">
        <f>IF($B62="","",IF($F62="Yes","Completed",IF($H62&lt;0,"Expired",IF(OR($F62="Pending",$F62="No",$F62="On Hold",$F62="Escalate"),IF($M62="Not Yet","Scheduled","Action Required"),"Review"))))</f>
        <v/>
      </c>
      <c r="O62" s="19" t="str">
        <f>IF($B62="","",IF(AND($N62="Action Required",$F62&lt;&gt;"Yes"),"Yes","No"))</f>
        <v/>
      </c>
      <c r="P62" s="19"/>
      <c r="Q62" s="19" t="str">
        <f>IF($B62="","",IF($O62="Yes","Ready for email batch","No email needed"))</f>
        <v/>
      </c>
      <c r="R62" s="19" t="str">
        <f>IF($B62="","",IF($F62="Yes","Stop reminders",IF($N62="Expired","Review expired item",IF($O62="Yes","Send "&amp;$M62&amp;" email to "&amp;$E62,"Monitor"))))</f>
        <v/>
      </c>
    </row>
    <row r="63" spans="1:18" ht="12" customHeight="1">
      <c r="A63" s="19"/>
      <c r="B63" s="19"/>
      <c r="C63" s="19"/>
      <c r="D63" s="19"/>
      <c r="E63" s="19"/>
      <c r="F63" s="19"/>
      <c r="G63" s="19"/>
      <c r="H63" s="19" t="str">
        <f ca="1">IF($B63="","",$D63-TODAY())</f>
        <v/>
      </c>
      <c r="I63" s="19" t="str">
        <f>IF($B63="","",IF($H63&lt;0,"Expired",IF($H63&lt;=7,"0-7 days",IF($H63&lt;=14,"8-14 days",IF($H63&lt;=30,"15-30 days","30+ days")))))</f>
        <v/>
      </c>
      <c r="J63" s="19" t="str">
        <f t="shared" si="3"/>
        <v/>
      </c>
      <c r="K63" s="19" t="str">
        <f t="shared" si="4"/>
        <v/>
      </c>
      <c r="L63" s="19" t="str">
        <f t="shared" si="5"/>
        <v/>
      </c>
      <c r="M63" s="19" t="str">
        <f ca="1">IF($B63="","",IF($F63="Yes","Completed",IF($H63&lt;0,"Expired",IF(TODAY()&gt;=$L63,"3rd Reminder",IF(TODAY()&gt;=$K63,"2nd Reminder",IF(TODAY()&gt;=$J63,"1st Reminder","Not Yet"))))))</f>
        <v/>
      </c>
      <c r="N63" s="19" t="str">
        <f>IF($B63="","",IF($F63="Yes","Completed",IF($H63&lt;0,"Expired",IF(OR($F63="Pending",$F63="No",$F63="On Hold",$F63="Escalate"),IF($M63="Not Yet","Scheduled","Action Required"),"Review"))))</f>
        <v/>
      </c>
      <c r="O63" s="19" t="str">
        <f>IF($B63="","",IF(AND($N63="Action Required",$F63&lt;&gt;"Yes"),"Yes","No"))</f>
        <v/>
      </c>
      <c r="P63" s="19"/>
      <c r="Q63" s="19" t="str">
        <f>IF($B63="","",IF($O63="Yes","Ready for email batch","No email needed"))</f>
        <v/>
      </c>
      <c r="R63" s="19" t="str">
        <f>IF($B63="","",IF($F63="Yes","Stop reminders",IF($N63="Expired","Review expired item",IF($O63="Yes","Send "&amp;$M63&amp;" email to "&amp;$E63,"Monitor"))))</f>
        <v/>
      </c>
    </row>
    <row r="64" spans="1:18" ht="12" customHeight="1">
      <c r="A64" s="19"/>
      <c r="B64" s="19"/>
      <c r="C64" s="19"/>
      <c r="D64" s="19"/>
      <c r="E64" s="19"/>
      <c r="F64" s="19"/>
      <c r="G64" s="19"/>
      <c r="H64" s="19" t="str">
        <f ca="1">IF($B64="","",$D64-TODAY())</f>
        <v/>
      </c>
      <c r="I64" s="19" t="str">
        <f>IF($B64="","",IF($H64&lt;0,"Expired",IF($H64&lt;=7,"0-7 days",IF($H64&lt;=14,"8-14 days",IF($H64&lt;=30,"15-30 days","30+ days")))))</f>
        <v/>
      </c>
      <c r="J64" s="19" t="str">
        <f t="shared" si="3"/>
        <v/>
      </c>
      <c r="K64" s="19" t="str">
        <f t="shared" si="4"/>
        <v/>
      </c>
      <c r="L64" s="19" t="str">
        <f t="shared" si="5"/>
        <v/>
      </c>
      <c r="M64" s="19" t="str">
        <f ca="1">IF($B64="","",IF($F64="Yes","Completed",IF($H64&lt;0,"Expired",IF(TODAY()&gt;=$L64,"3rd Reminder",IF(TODAY()&gt;=$K64,"2nd Reminder",IF(TODAY()&gt;=$J64,"1st Reminder","Not Yet"))))))</f>
        <v/>
      </c>
      <c r="N64" s="19" t="str">
        <f>IF($B64="","",IF($F64="Yes","Completed",IF($H64&lt;0,"Expired",IF(OR($F64="Pending",$F64="No",$F64="On Hold",$F64="Escalate"),IF($M64="Not Yet","Scheduled","Action Required"),"Review"))))</f>
        <v/>
      </c>
      <c r="O64" s="19" t="str">
        <f>IF($B64="","",IF(AND($N64="Action Required",$F64&lt;&gt;"Yes"),"Yes","No"))</f>
        <v/>
      </c>
      <c r="P64" s="19"/>
      <c r="Q64" s="19" t="str">
        <f>IF($B64="","",IF($O64="Yes","Ready for email batch","No email needed"))</f>
        <v/>
      </c>
      <c r="R64" s="19" t="str">
        <f>IF($B64="","",IF($F64="Yes","Stop reminders",IF($N64="Expired","Review expired item",IF($O64="Yes","Send "&amp;$M64&amp;" email to "&amp;$E64,"Monitor"))))</f>
        <v/>
      </c>
    </row>
    <row r="65" spans="1:18" ht="12" customHeight="1">
      <c r="A65" s="19"/>
      <c r="B65" s="19"/>
      <c r="C65" s="19"/>
      <c r="D65" s="19"/>
      <c r="E65" s="19"/>
      <c r="F65" s="19"/>
      <c r="G65" s="19"/>
      <c r="H65" s="19" t="str">
        <f ca="1">IF($B65="","",$D65-TODAY())</f>
        <v/>
      </c>
      <c r="I65" s="19" t="str">
        <f>IF($B65="","",IF($H65&lt;0,"Expired",IF($H65&lt;=7,"0-7 days",IF($H65&lt;=14,"8-14 days",IF($H65&lt;=30,"15-30 days","30+ days")))))</f>
        <v/>
      </c>
      <c r="J65" s="19" t="str">
        <f t="shared" si="3"/>
        <v/>
      </c>
      <c r="K65" s="19" t="str">
        <f t="shared" si="4"/>
        <v/>
      </c>
      <c r="L65" s="19" t="str">
        <f t="shared" si="5"/>
        <v/>
      </c>
      <c r="M65" s="19" t="str">
        <f ca="1">IF($B65="","",IF($F65="Yes","Completed",IF($H65&lt;0,"Expired",IF(TODAY()&gt;=$L65,"3rd Reminder",IF(TODAY()&gt;=$K65,"2nd Reminder",IF(TODAY()&gt;=$J65,"1st Reminder","Not Yet"))))))</f>
        <v/>
      </c>
      <c r="N65" s="19" t="str">
        <f>IF($B65="","",IF($F65="Yes","Completed",IF($H65&lt;0,"Expired",IF(OR($F65="Pending",$F65="No",$F65="On Hold",$F65="Escalate"),IF($M65="Not Yet","Scheduled","Action Required"),"Review"))))</f>
        <v/>
      </c>
      <c r="O65" s="19" t="str">
        <f>IF($B65="","",IF(AND($N65="Action Required",$F65&lt;&gt;"Yes"),"Yes","No"))</f>
        <v/>
      </c>
      <c r="P65" s="19"/>
      <c r="Q65" s="19" t="str">
        <f>IF($B65="","",IF($O65="Yes","Ready for email batch","No email needed"))</f>
        <v/>
      </c>
      <c r="R65" s="19" t="str">
        <f>IF($B65="","",IF($F65="Yes","Stop reminders",IF($N65="Expired","Review expired item",IF($O65="Yes","Send "&amp;$M65&amp;" email to "&amp;$E65,"Monitor"))))</f>
        <v/>
      </c>
    </row>
    <row r="66" spans="1:18" ht="12" customHeight="1">
      <c r="A66" s="19"/>
      <c r="B66" s="19"/>
      <c r="C66" s="19"/>
      <c r="D66" s="19"/>
      <c r="E66" s="19"/>
      <c r="F66" s="19"/>
      <c r="G66" s="19"/>
      <c r="H66" s="19" t="str">
        <f ca="1">IF($B66="","",$D66-TODAY())</f>
        <v/>
      </c>
      <c r="I66" s="19" t="str">
        <f>IF($B66="","",IF($H66&lt;0,"Expired",IF($H66&lt;=7,"0-7 days",IF($H66&lt;=14,"8-14 days",IF($H66&lt;=30,"15-30 days","30+ days")))))</f>
        <v/>
      </c>
      <c r="J66" s="19" t="str">
        <f t="shared" si="3"/>
        <v/>
      </c>
      <c r="K66" s="19" t="str">
        <f t="shared" si="4"/>
        <v/>
      </c>
      <c r="L66" s="19" t="str">
        <f t="shared" si="5"/>
        <v/>
      </c>
      <c r="M66" s="19" t="str">
        <f ca="1">IF($B66="","",IF($F66="Yes","Completed",IF($H66&lt;0,"Expired",IF(TODAY()&gt;=$L66,"3rd Reminder",IF(TODAY()&gt;=$K66,"2nd Reminder",IF(TODAY()&gt;=$J66,"1st Reminder","Not Yet"))))))</f>
        <v/>
      </c>
      <c r="N66" s="19" t="str">
        <f>IF($B66="","",IF($F66="Yes","Completed",IF($H66&lt;0,"Expired",IF(OR($F66="Pending",$F66="No",$F66="On Hold",$F66="Escalate"),IF($M66="Not Yet","Scheduled","Action Required"),"Review"))))</f>
        <v/>
      </c>
      <c r="O66" s="19" t="str">
        <f>IF($B66="","",IF(AND($N66="Action Required",$F66&lt;&gt;"Yes"),"Yes","No"))</f>
        <v/>
      </c>
      <c r="P66" s="19"/>
      <c r="Q66" s="19" t="str">
        <f>IF($B66="","",IF($O66="Yes","Ready for email batch","No email needed"))</f>
        <v/>
      </c>
      <c r="R66" s="19" t="str">
        <f>IF($B66="","",IF($F66="Yes","Stop reminders",IF($N66="Expired","Review expired item",IF($O66="Yes","Send "&amp;$M66&amp;" email to "&amp;$E66,"Monitor"))))</f>
        <v/>
      </c>
    </row>
    <row r="67" spans="1:18" ht="12" customHeight="1">
      <c r="A67" s="19"/>
      <c r="B67" s="19"/>
      <c r="C67" s="19"/>
      <c r="D67" s="19"/>
      <c r="E67" s="19"/>
      <c r="F67" s="19"/>
      <c r="G67" s="19"/>
      <c r="H67" s="19" t="str">
        <f ca="1">IF($B67="","",$D67-TODAY())</f>
        <v/>
      </c>
      <c r="I67" s="19" t="str">
        <f>IF($B67="","",IF($H67&lt;0,"Expired",IF($H67&lt;=7,"0-7 days",IF($H67&lt;=14,"8-14 days",IF($H67&lt;=30,"15-30 days","30+ days")))))</f>
        <v/>
      </c>
      <c r="J67" s="19" t="str">
        <f t="shared" si="3"/>
        <v/>
      </c>
      <c r="K67" s="19" t="str">
        <f t="shared" si="4"/>
        <v/>
      </c>
      <c r="L67" s="19" t="str">
        <f t="shared" si="5"/>
        <v/>
      </c>
      <c r="M67" s="19" t="str">
        <f ca="1">IF($B67="","",IF($F67="Yes","Completed",IF($H67&lt;0,"Expired",IF(TODAY()&gt;=$L67,"3rd Reminder",IF(TODAY()&gt;=$K67,"2nd Reminder",IF(TODAY()&gt;=$J67,"1st Reminder","Not Yet"))))))</f>
        <v/>
      </c>
      <c r="N67" s="19" t="str">
        <f>IF($B67="","",IF($F67="Yes","Completed",IF($H67&lt;0,"Expired",IF(OR($F67="Pending",$F67="No",$F67="On Hold",$F67="Escalate"),IF($M67="Not Yet","Scheduled","Action Required"),"Review"))))</f>
        <v/>
      </c>
      <c r="O67" s="19" t="str">
        <f>IF($B67="","",IF(AND($N67="Action Required",$F67&lt;&gt;"Yes"),"Yes","No"))</f>
        <v/>
      </c>
      <c r="P67" s="19"/>
      <c r="Q67" s="19" t="str">
        <f>IF($B67="","",IF($O67="Yes","Ready for email batch","No email needed"))</f>
        <v/>
      </c>
      <c r="R67" s="19" t="str">
        <f>IF($B67="","",IF($F67="Yes","Stop reminders",IF($N67="Expired","Review expired item",IF($O67="Yes","Send "&amp;$M67&amp;" email to "&amp;$E67,"Monitor"))))</f>
        <v/>
      </c>
    </row>
    <row r="68" spans="1:18" ht="12" customHeight="1">
      <c r="A68" s="19"/>
      <c r="B68" s="19"/>
      <c r="C68" s="19"/>
      <c r="D68" s="19"/>
      <c r="E68" s="19"/>
      <c r="F68" s="19"/>
      <c r="G68" s="19"/>
      <c r="H68" s="19" t="str">
        <f ca="1">IF($B68="","",$D68-TODAY())</f>
        <v/>
      </c>
      <c r="I68" s="19" t="str">
        <f>IF($B68="","",IF($H68&lt;0,"Expired",IF($H68&lt;=7,"0-7 days",IF($H68&lt;=14,"8-14 days",IF($H68&lt;=30,"15-30 days","30+ days")))))</f>
        <v/>
      </c>
      <c r="J68" s="19" t="str">
        <f t="shared" si="3"/>
        <v/>
      </c>
      <c r="K68" s="19" t="str">
        <f t="shared" si="4"/>
        <v/>
      </c>
      <c r="L68" s="19" t="str">
        <f t="shared" si="5"/>
        <v/>
      </c>
      <c r="M68" s="19" t="str">
        <f ca="1">IF($B68="","",IF($F68="Yes","Completed",IF($H68&lt;0,"Expired",IF(TODAY()&gt;=$L68,"3rd Reminder",IF(TODAY()&gt;=$K68,"2nd Reminder",IF(TODAY()&gt;=$J68,"1st Reminder","Not Yet"))))))</f>
        <v/>
      </c>
      <c r="N68" s="19" t="str">
        <f>IF($B68="","",IF($F68="Yes","Completed",IF($H68&lt;0,"Expired",IF(OR($F68="Pending",$F68="No",$F68="On Hold",$F68="Escalate"),IF($M68="Not Yet","Scheduled","Action Required"),"Review"))))</f>
        <v/>
      </c>
      <c r="O68" s="19" t="str">
        <f>IF($B68="","",IF(AND($N68="Action Required",$F68&lt;&gt;"Yes"),"Yes","No"))</f>
        <v/>
      </c>
      <c r="P68" s="19"/>
      <c r="Q68" s="19" t="str">
        <f>IF($B68="","",IF($O68="Yes","Ready for email batch","No email needed"))</f>
        <v/>
      </c>
      <c r="R68" s="19" t="str">
        <f>IF($B68="","",IF($F68="Yes","Stop reminders",IF($N68="Expired","Review expired item",IF($O68="Yes","Send "&amp;$M68&amp;" email to "&amp;$E68,"Monitor"))))</f>
        <v/>
      </c>
    </row>
    <row r="69" spans="1:18" ht="12" customHeight="1">
      <c r="A69" s="19"/>
      <c r="B69" s="19"/>
      <c r="C69" s="19"/>
      <c r="D69" s="19"/>
      <c r="E69" s="19"/>
      <c r="F69" s="19"/>
      <c r="G69" s="19"/>
      <c r="H69" s="19" t="str">
        <f ca="1">IF($B69="","",$D69-TODAY())</f>
        <v/>
      </c>
      <c r="I69" s="19" t="str">
        <f>IF($B69="","",IF($H69&lt;0,"Expired",IF($H69&lt;=7,"0-7 days",IF($H69&lt;=14,"8-14 days",IF($H69&lt;=30,"15-30 days","30+ days")))))</f>
        <v/>
      </c>
      <c r="J69" s="19" t="str">
        <f t="shared" ref="J69:J104" si="6">IF($D69="","",$D69-30)</f>
        <v/>
      </c>
      <c r="K69" s="19" t="str">
        <f t="shared" ref="K69:K104" si="7">IF($D69="","",$D69-14)</f>
        <v/>
      </c>
      <c r="L69" s="19" t="str">
        <f t="shared" ref="L69:L104" si="8">IF($D69="","",$D69-7)</f>
        <v/>
      </c>
      <c r="M69" s="19" t="str">
        <f ca="1">IF($B69="","",IF($F69="Yes","Completed",IF($H69&lt;0,"Expired",IF(TODAY()&gt;=$L69,"3rd Reminder",IF(TODAY()&gt;=$K69,"2nd Reminder",IF(TODAY()&gt;=$J69,"1st Reminder","Not Yet"))))))</f>
        <v/>
      </c>
      <c r="N69" s="19" t="str">
        <f>IF($B69="","",IF($F69="Yes","Completed",IF($H69&lt;0,"Expired",IF(OR($F69="Pending",$F69="No",$F69="On Hold",$F69="Escalate"),IF($M69="Not Yet","Scheduled","Action Required"),"Review"))))</f>
        <v/>
      </c>
      <c r="O69" s="19" t="str">
        <f>IF($B69="","",IF(AND($N69="Action Required",$F69&lt;&gt;"Yes"),"Yes","No"))</f>
        <v/>
      </c>
      <c r="P69" s="19"/>
      <c r="Q69" s="19" t="str">
        <f>IF($B69="","",IF($O69="Yes","Ready for email batch","No email needed"))</f>
        <v/>
      </c>
      <c r="R69" s="19" t="str">
        <f>IF($B69="","",IF($F69="Yes","Stop reminders",IF($N69="Expired","Review expired item",IF($O69="Yes","Send "&amp;$M69&amp;" email to "&amp;$E69,"Monitor"))))</f>
        <v/>
      </c>
    </row>
    <row r="70" spans="1:18" ht="12" customHeight="1">
      <c r="A70" s="19"/>
      <c r="B70" s="19"/>
      <c r="C70" s="19"/>
      <c r="D70" s="19"/>
      <c r="E70" s="19"/>
      <c r="F70" s="19"/>
      <c r="G70" s="19"/>
      <c r="H70" s="19" t="str">
        <f ca="1">IF($B70="","",$D70-TODAY())</f>
        <v/>
      </c>
      <c r="I70" s="19" t="str">
        <f>IF($B70="","",IF($H70&lt;0,"Expired",IF($H70&lt;=7,"0-7 days",IF($H70&lt;=14,"8-14 days",IF($H70&lt;=30,"15-30 days","30+ days")))))</f>
        <v/>
      </c>
      <c r="J70" s="19" t="str">
        <f t="shared" si="6"/>
        <v/>
      </c>
      <c r="K70" s="19" t="str">
        <f t="shared" si="7"/>
        <v/>
      </c>
      <c r="L70" s="19" t="str">
        <f t="shared" si="8"/>
        <v/>
      </c>
      <c r="M70" s="19" t="str">
        <f ca="1">IF($B70="","",IF($F70="Yes","Completed",IF($H70&lt;0,"Expired",IF(TODAY()&gt;=$L70,"3rd Reminder",IF(TODAY()&gt;=$K70,"2nd Reminder",IF(TODAY()&gt;=$J70,"1st Reminder","Not Yet"))))))</f>
        <v/>
      </c>
      <c r="N70" s="19" t="str">
        <f>IF($B70="","",IF($F70="Yes","Completed",IF($H70&lt;0,"Expired",IF(OR($F70="Pending",$F70="No",$F70="On Hold",$F70="Escalate"),IF($M70="Not Yet","Scheduled","Action Required"),"Review"))))</f>
        <v/>
      </c>
      <c r="O70" s="19" t="str">
        <f>IF($B70="","",IF(AND($N70="Action Required",$F70&lt;&gt;"Yes"),"Yes","No"))</f>
        <v/>
      </c>
      <c r="P70" s="19"/>
      <c r="Q70" s="19" t="str">
        <f>IF($B70="","",IF($O70="Yes","Ready for email batch","No email needed"))</f>
        <v/>
      </c>
      <c r="R70" s="19" t="str">
        <f>IF($B70="","",IF($F70="Yes","Stop reminders",IF($N70="Expired","Review expired item",IF($O70="Yes","Send "&amp;$M70&amp;" email to "&amp;$E70,"Monitor"))))</f>
        <v/>
      </c>
    </row>
    <row r="71" spans="1:18" ht="12" customHeight="1">
      <c r="A71" s="19"/>
      <c r="B71" s="19"/>
      <c r="C71" s="19"/>
      <c r="D71" s="19"/>
      <c r="E71" s="19"/>
      <c r="F71" s="19"/>
      <c r="G71" s="19"/>
      <c r="H71" s="19" t="str">
        <f ca="1">IF($B71="","",$D71-TODAY())</f>
        <v/>
      </c>
      <c r="I71" s="19" t="str">
        <f>IF($B71="","",IF($H71&lt;0,"Expired",IF($H71&lt;=7,"0-7 days",IF($H71&lt;=14,"8-14 days",IF($H71&lt;=30,"15-30 days","30+ days")))))</f>
        <v/>
      </c>
      <c r="J71" s="19" t="str">
        <f t="shared" si="6"/>
        <v/>
      </c>
      <c r="K71" s="19" t="str">
        <f t="shared" si="7"/>
        <v/>
      </c>
      <c r="L71" s="19" t="str">
        <f t="shared" si="8"/>
        <v/>
      </c>
      <c r="M71" s="19" t="str">
        <f ca="1">IF($B71="","",IF($F71="Yes","Completed",IF($H71&lt;0,"Expired",IF(TODAY()&gt;=$L71,"3rd Reminder",IF(TODAY()&gt;=$K71,"2nd Reminder",IF(TODAY()&gt;=$J71,"1st Reminder","Not Yet"))))))</f>
        <v/>
      </c>
      <c r="N71" s="19" t="str">
        <f>IF($B71="","",IF($F71="Yes","Completed",IF($H71&lt;0,"Expired",IF(OR($F71="Pending",$F71="No",$F71="On Hold",$F71="Escalate"),IF($M71="Not Yet","Scheduled","Action Required"),"Review"))))</f>
        <v/>
      </c>
      <c r="O71" s="19" t="str">
        <f>IF($B71="","",IF(AND($N71="Action Required",$F71&lt;&gt;"Yes"),"Yes","No"))</f>
        <v/>
      </c>
      <c r="P71" s="19"/>
      <c r="Q71" s="19" t="str">
        <f>IF($B71="","",IF($O71="Yes","Ready for email batch","No email needed"))</f>
        <v/>
      </c>
      <c r="R71" s="19" t="str">
        <f>IF($B71="","",IF($F71="Yes","Stop reminders",IF($N71="Expired","Review expired item",IF($O71="Yes","Send "&amp;$M71&amp;" email to "&amp;$E71,"Monitor"))))</f>
        <v/>
      </c>
    </row>
    <row r="72" spans="1:18" ht="12" customHeight="1">
      <c r="A72" s="19"/>
      <c r="B72" s="19"/>
      <c r="C72" s="19"/>
      <c r="D72" s="19"/>
      <c r="E72" s="19"/>
      <c r="F72" s="19"/>
      <c r="G72" s="19"/>
      <c r="H72" s="19" t="str">
        <f ca="1">IF($B72="","",$D72-TODAY())</f>
        <v/>
      </c>
      <c r="I72" s="19" t="str">
        <f>IF($B72="","",IF($H72&lt;0,"Expired",IF($H72&lt;=7,"0-7 days",IF($H72&lt;=14,"8-14 days",IF($H72&lt;=30,"15-30 days","30+ days")))))</f>
        <v/>
      </c>
      <c r="J72" s="19" t="str">
        <f t="shared" si="6"/>
        <v/>
      </c>
      <c r="K72" s="19" t="str">
        <f t="shared" si="7"/>
        <v/>
      </c>
      <c r="L72" s="19" t="str">
        <f t="shared" si="8"/>
        <v/>
      </c>
      <c r="M72" s="19" t="str">
        <f ca="1">IF($B72="","",IF($F72="Yes","Completed",IF($H72&lt;0,"Expired",IF(TODAY()&gt;=$L72,"3rd Reminder",IF(TODAY()&gt;=$K72,"2nd Reminder",IF(TODAY()&gt;=$J72,"1st Reminder","Not Yet"))))))</f>
        <v/>
      </c>
      <c r="N72" s="19" t="str">
        <f>IF($B72="","",IF($F72="Yes","Completed",IF($H72&lt;0,"Expired",IF(OR($F72="Pending",$F72="No",$F72="On Hold",$F72="Escalate"),IF($M72="Not Yet","Scheduled","Action Required"),"Review"))))</f>
        <v/>
      </c>
      <c r="O72" s="19" t="str">
        <f>IF($B72="","",IF(AND($N72="Action Required",$F72&lt;&gt;"Yes"),"Yes","No"))</f>
        <v/>
      </c>
      <c r="P72" s="19"/>
      <c r="Q72" s="19" t="str">
        <f>IF($B72="","",IF($O72="Yes","Ready for email batch","No email needed"))</f>
        <v/>
      </c>
      <c r="R72" s="19" t="str">
        <f>IF($B72="","",IF($F72="Yes","Stop reminders",IF($N72="Expired","Review expired item",IF($O72="Yes","Send "&amp;$M72&amp;" email to "&amp;$E72,"Monitor"))))</f>
        <v/>
      </c>
    </row>
    <row r="73" spans="1:18" ht="12" customHeight="1">
      <c r="A73" s="19"/>
      <c r="B73" s="19"/>
      <c r="C73" s="19"/>
      <c r="D73" s="19"/>
      <c r="E73" s="19"/>
      <c r="F73" s="19"/>
      <c r="G73" s="19"/>
      <c r="H73" s="19" t="str">
        <f ca="1">IF($B73="","",$D73-TODAY())</f>
        <v/>
      </c>
      <c r="I73" s="19" t="str">
        <f>IF($B73="","",IF($H73&lt;0,"Expired",IF($H73&lt;=7,"0-7 days",IF($H73&lt;=14,"8-14 days",IF($H73&lt;=30,"15-30 days","30+ days")))))</f>
        <v/>
      </c>
      <c r="J73" s="19" t="str">
        <f t="shared" si="6"/>
        <v/>
      </c>
      <c r="K73" s="19" t="str">
        <f t="shared" si="7"/>
        <v/>
      </c>
      <c r="L73" s="19" t="str">
        <f t="shared" si="8"/>
        <v/>
      </c>
      <c r="M73" s="19" t="str">
        <f ca="1">IF($B73="","",IF($F73="Yes","Completed",IF($H73&lt;0,"Expired",IF(TODAY()&gt;=$L73,"3rd Reminder",IF(TODAY()&gt;=$K73,"2nd Reminder",IF(TODAY()&gt;=$J73,"1st Reminder","Not Yet"))))))</f>
        <v/>
      </c>
      <c r="N73" s="19" t="str">
        <f>IF($B73="","",IF($F73="Yes","Completed",IF($H73&lt;0,"Expired",IF(OR($F73="Pending",$F73="No",$F73="On Hold",$F73="Escalate"),IF($M73="Not Yet","Scheduled","Action Required"),"Review"))))</f>
        <v/>
      </c>
      <c r="O73" s="19" t="str">
        <f>IF($B73="","",IF(AND($N73="Action Required",$F73&lt;&gt;"Yes"),"Yes","No"))</f>
        <v/>
      </c>
      <c r="P73" s="19"/>
      <c r="Q73" s="19" t="str">
        <f>IF($B73="","",IF($O73="Yes","Ready for email batch","No email needed"))</f>
        <v/>
      </c>
      <c r="R73" s="19" t="str">
        <f>IF($B73="","",IF($F73="Yes","Stop reminders",IF($N73="Expired","Review expired item",IF($O73="Yes","Send "&amp;$M73&amp;" email to "&amp;$E73,"Monitor"))))</f>
        <v/>
      </c>
    </row>
    <row r="74" spans="1:18" ht="12" customHeight="1">
      <c r="A74" s="19"/>
      <c r="B74" s="19"/>
      <c r="C74" s="19"/>
      <c r="D74" s="19"/>
      <c r="E74" s="19"/>
      <c r="F74" s="19"/>
      <c r="G74" s="19"/>
      <c r="H74" s="19" t="str">
        <f ca="1">IF($B74="","",$D74-TODAY())</f>
        <v/>
      </c>
      <c r="I74" s="19" t="str">
        <f>IF($B74="","",IF($H74&lt;0,"Expired",IF($H74&lt;=7,"0-7 days",IF($H74&lt;=14,"8-14 days",IF($H74&lt;=30,"15-30 days","30+ days")))))</f>
        <v/>
      </c>
      <c r="J74" s="19" t="str">
        <f t="shared" si="6"/>
        <v/>
      </c>
      <c r="K74" s="19" t="str">
        <f t="shared" si="7"/>
        <v/>
      </c>
      <c r="L74" s="19" t="str">
        <f t="shared" si="8"/>
        <v/>
      </c>
      <c r="M74" s="19" t="str">
        <f ca="1">IF($B74="","",IF($F74="Yes","Completed",IF($H74&lt;0,"Expired",IF(TODAY()&gt;=$L74,"3rd Reminder",IF(TODAY()&gt;=$K74,"2nd Reminder",IF(TODAY()&gt;=$J74,"1st Reminder","Not Yet"))))))</f>
        <v/>
      </c>
      <c r="N74" s="19" t="str">
        <f>IF($B74="","",IF($F74="Yes","Completed",IF($H74&lt;0,"Expired",IF(OR($F74="Pending",$F74="No",$F74="On Hold",$F74="Escalate"),IF($M74="Not Yet","Scheduled","Action Required"),"Review"))))</f>
        <v/>
      </c>
      <c r="O74" s="19" t="str">
        <f>IF($B74="","",IF(AND($N74="Action Required",$F74&lt;&gt;"Yes"),"Yes","No"))</f>
        <v/>
      </c>
      <c r="P74" s="19"/>
      <c r="Q74" s="19" t="str">
        <f>IF($B74="","",IF($O74="Yes","Ready for email batch","No email needed"))</f>
        <v/>
      </c>
      <c r="R74" s="19" t="str">
        <f>IF($B74="","",IF($F74="Yes","Stop reminders",IF($N74="Expired","Review expired item",IF($O74="Yes","Send "&amp;$M74&amp;" email to "&amp;$E74,"Monitor"))))</f>
        <v/>
      </c>
    </row>
    <row r="75" spans="1:18" ht="12" customHeight="1">
      <c r="A75" s="19"/>
      <c r="B75" s="19"/>
      <c r="C75" s="19"/>
      <c r="D75" s="19"/>
      <c r="E75" s="19"/>
      <c r="F75" s="19"/>
      <c r="G75" s="19"/>
      <c r="H75" s="19" t="str">
        <f ca="1">IF($B75="","",$D75-TODAY())</f>
        <v/>
      </c>
      <c r="I75" s="19" t="str">
        <f>IF($B75="","",IF($H75&lt;0,"Expired",IF($H75&lt;=7,"0-7 days",IF($H75&lt;=14,"8-14 days",IF($H75&lt;=30,"15-30 days","30+ days")))))</f>
        <v/>
      </c>
      <c r="J75" s="19" t="str">
        <f t="shared" si="6"/>
        <v/>
      </c>
      <c r="K75" s="19" t="str">
        <f t="shared" si="7"/>
        <v/>
      </c>
      <c r="L75" s="19" t="str">
        <f t="shared" si="8"/>
        <v/>
      </c>
      <c r="M75" s="19" t="str">
        <f ca="1">IF($B75="","",IF($F75="Yes","Completed",IF($H75&lt;0,"Expired",IF(TODAY()&gt;=$L75,"3rd Reminder",IF(TODAY()&gt;=$K75,"2nd Reminder",IF(TODAY()&gt;=$J75,"1st Reminder","Not Yet"))))))</f>
        <v/>
      </c>
      <c r="N75" s="19" t="str">
        <f>IF($B75="","",IF($F75="Yes","Completed",IF($H75&lt;0,"Expired",IF(OR($F75="Pending",$F75="No",$F75="On Hold",$F75="Escalate"),IF($M75="Not Yet","Scheduled","Action Required"),"Review"))))</f>
        <v/>
      </c>
      <c r="O75" s="19" t="str">
        <f>IF($B75="","",IF(AND($N75="Action Required",$F75&lt;&gt;"Yes"),"Yes","No"))</f>
        <v/>
      </c>
      <c r="P75" s="19"/>
      <c r="Q75" s="19" t="str">
        <f>IF($B75="","",IF($O75="Yes","Ready for email batch","No email needed"))</f>
        <v/>
      </c>
      <c r="R75" s="19" t="str">
        <f>IF($B75="","",IF($F75="Yes","Stop reminders",IF($N75="Expired","Review expired item",IF($O75="Yes","Send "&amp;$M75&amp;" email to "&amp;$E75,"Monitor"))))</f>
        <v/>
      </c>
    </row>
    <row r="76" spans="1:18" ht="12" customHeight="1">
      <c r="A76" s="19"/>
      <c r="B76" s="19"/>
      <c r="C76" s="19"/>
      <c r="D76" s="19"/>
      <c r="E76" s="19"/>
      <c r="F76" s="19"/>
      <c r="G76" s="19"/>
      <c r="H76" s="19" t="str">
        <f ca="1">IF($B76="","",$D76-TODAY())</f>
        <v/>
      </c>
      <c r="I76" s="19" t="str">
        <f>IF($B76="","",IF($H76&lt;0,"Expired",IF($H76&lt;=7,"0-7 days",IF($H76&lt;=14,"8-14 days",IF($H76&lt;=30,"15-30 days","30+ days")))))</f>
        <v/>
      </c>
      <c r="J76" s="19" t="str">
        <f t="shared" si="6"/>
        <v/>
      </c>
      <c r="K76" s="19" t="str">
        <f t="shared" si="7"/>
        <v/>
      </c>
      <c r="L76" s="19" t="str">
        <f t="shared" si="8"/>
        <v/>
      </c>
      <c r="M76" s="19" t="str">
        <f ca="1">IF($B76="","",IF($F76="Yes","Completed",IF($H76&lt;0,"Expired",IF(TODAY()&gt;=$L76,"3rd Reminder",IF(TODAY()&gt;=$K76,"2nd Reminder",IF(TODAY()&gt;=$J76,"1st Reminder","Not Yet"))))))</f>
        <v/>
      </c>
      <c r="N76" s="19" t="str">
        <f>IF($B76="","",IF($F76="Yes","Completed",IF($H76&lt;0,"Expired",IF(OR($F76="Pending",$F76="No",$F76="On Hold",$F76="Escalate"),IF($M76="Not Yet","Scheduled","Action Required"),"Review"))))</f>
        <v/>
      </c>
      <c r="O76" s="19" t="str">
        <f>IF($B76="","",IF(AND($N76="Action Required",$F76&lt;&gt;"Yes"),"Yes","No"))</f>
        <v/>
      </c>
      <c r="P76" s="19"/>
      <c r="Q76" s="19" t="str">
        <f>IF($B76="","",IF($O76="Yes","Ready for email batch","No email needed"))</f>
        <v/>
      </c>
      <c r="R76" s="19" t="str">
        <f>IF($B76="","",IF($F76="Yes","Stop reminders",IF($N76="Expired","Review expired item",IF($O76="Yes","Send "&amp;$M76&amp;" email to "&amp;$E76,"Monitor"))))</f>
        <v/>
      </c>
    </row>
    <row r="77" spans="1:18" ht="12" customHeight="1">
      <c r="A77" s="19"/>
      <c r="B77" s="19"/>
      <c r="C77" s="19"/>
      <c r="D77" s="19"/>
      <c r="E77" s="19"/>
      <c r="F77" s="19"/>
      <c r="G77" s="19"/>
      <c r="H77" s="19" t="str">
        <f ca="1">IF($B77="","",$D77-TODAY())</f>
        <v/>
      </c>
      <c r="I77" s="19" t="str">
        <f>IF($B77="","",IF($H77&lt;0,"Expired",IF($H77&lt;=7,"0-7 days",IF($H77&lt;=14,"8-14 days",IF($H77&lt;=30,"15-30 days","30+ days")))))</f>
        <v/>
      </c>
      <c r="J77" s="19" t="str">
        <f t="shared" si="6"/>
        <v/>
      </c>
      <c r="K77" s="19" t="str">
        <f t="shared" si="7"/>
        <v/>
      </c>
      <c r="L77" s="19" t="str">
        <f t="shared" si="8"/>
        <v/>
      </c>
      <c r="M77" s="19" t="str">
        <f ca="1">IF($B77="","",IF($F77="Yes","Completed",IF($H77&lt;0,"Expired",IF(TODAY()&gt;=$L77,"3rd Reminder",IF(TODAY()&gt;=$K77,"2nd Reminder",IF(TODAY()&gt;=$J77,"1st Reminder","Not Yet"))))))</f>
        <v/>
      </c>
      <c r="N77" s="19" t="str">
        <f>IF($B77="","",IF($F77="Yes","Completed",IF($H77&lt;0,"Expired",IF(OR($F77="Pending",$F77="No",$F77="On Hold",$F77="Escalate"),IF($M77="Not Yet","Scheduled","Action Required"),"Review"))))</f>
        <v/>
      </c>
      <c r="O77" s="19" t="str">
        <f>IF($B77="","",IF(AND($N77="Action Required",$F77&lt;&gt;"Yes"),"Yes","No"))</f>
        <v/>
      </c>
      <c r="P77" s="19"/>
      <c r="Q77" s="19" t="str">
        <f>IF($B77="","",IF($O77="Yes","Ready for email batch","No email needed"))</f>
        <v/>
      </c>
      <c r="R77" s="19" t="str">
        <f>IF($B77="","",IF($F77="Yes","Stop reminders",IF($N77="Expired","Review expired item",IF($O77="Yes","Send "&amp;$M77&amp;" email to "&amp;$E77,"Monitor"))))</f>
        <v/>
      </c>
    </row>
    <row r="78" spans="1:18" ht="12" customHeight="1">
      <c r="A78" s="19"/>
      <c r="B78" s="19"/>
      <c r="C78" s="19"/>
      <c r="D78" s="19"/>
      <c r="E78" s="19"/>
      <c r="F78" s="19"/>
      <c r="G78" s="19"/>
      <c r="H78" s="19" t="str">
        <f ca="1">IF($B78="","",$D78-TODAY())</f>
        <v/>
      </c>
      <c r="I78" s="19" t="str">
        <f>IF($B78="","",IF($H78&lt;0,"Expired",IF($H78&lt;=7,"0-7 days",IF($H78&lt;=14,"8-14 days",IF($H78&lt;=30,"15-30 days","30+ days")))))</f>
        <v/>
      </c>
      <c r="J78" s="19" t="str">
        <f t="shared" si="6"/>
        <v/>
      </c>
      <c r="K78" s="19" t="str">
        <f t="shared" si="7"/>
        <v/>
      </c>
      <c r="L78" s="19" t="str">
        <f t="shared" si="8"/>
        <v/>
      </c>
      <c r="M78" s="19" t="str">
        <f ca="1">IF($B78="","",IF($F78="Yes","Completed",IF($H78&lt;0,"Expired",IF(TODAY()&gt;=$L78,"3rd Reminder",IF(TODAY()&gt;=$K78,"2nd Reminder",IF(TODAY()&gt;=$J78,"1st Reminder","Not Yet"))))))</f>
        <v/>
      </c>
      <c r="N78" s="19" t="str">
        <f>IF($B78="","",IF($F78="Yes","Completed",IF($H78&lt;0,"Expired",IF(OR($F78="Pending",$F78="No",$F78="On Hold",$F78="Escalate"),IF($M78="Not Yet","Scheduled","Action Required"),"Review"))))</f>
        <v/>
      </c>
      <c r="O78" s="19" t="str">
        <f>IF($B78="","",IF(AND($N78="Action Required",$F78&lt;&gt;"Yes"),"Yes","No"))</f>
        <v/>
      </c>
      <c r="P78" s="19"/>
      <c r="Q78" s="19" t="str">
        <f>IF($B78="","",IF($O78="Yes","Ready for email batch","No email needed"))</f>
        <v/>
      </c>
      <c r="R78" s="19" t="str">
        <f>IF($B78="","",IF($F78="Yes","Stop reminders",IF($N78="Expired","Review expired item",IF($O78="Yes","Send "&amp;$M78&amp;" email to "&amp;$E78,"Monitor"))))</f>
        <v/>
      </c>
    </row>
    <row r="79" spans="1:18" ht="12" customHeight="1">
      <c r="A79" s="19"/>
      <c r="B79" s="19"/>
      <c r="C79" s="19"/>
      <c r="D79" s="19"/>
      <c r="E79" s="19"/>
      <c r="F79" s="19"/>
      <c r="G79" s="19"/>
      <c r="H79" s="19" t="str">
        <f ca="1">IF($B79="","",$D79-TODAY())</f>
        <v/>
      </c>
      <c r="I79" s="19" t="str">
        <f>IF($B79="","",IF($H79&lt;0,"Expired",IF($H79&lt;=7,"0-7 days",IF($H79&lt;=14,"8-14 days",IF($H79&lt;=30,"15-30 days","30+ days")))))</f>
        <v/>
      </c>
      <c r="J79" s="19" t="str">
        <f t="shared" si="6"/>
        <v/>
      </c>
      <c r="K79" s="19" t="str">
        <f t="shared" si="7"/>
        <v/>
      </c>
      <c r="L79" s="19" t="str">
        <f t="shared" si="8"/>
        <v/>
      </c>
      <c r="M79" s="19" t="str">
        <f ca="1">IF($B79="","",IF($F79="Yes","Completed",IF($H79&lt;0,"Expired",IF(TODAY()&gt;=$L79,"3rd Reminder",IF(TODAY()&gt;=$K79,"2nd Reminder",IF(TODAY()&gt;=$J79,"1st Reminder","Not Yet"))))))</f>
        <v/>
      </c>
      <c r="N79" s="19" t="str">
        <f>IF($B79="","",IF($F79="Yes","Completed",IF($H79&lt;0,"Expired",IF(OR($F79="Pending",$F79="No",$F79="On Hold",$F79="Escalate"),IF($M79="Not Yet","Scheduled","Action Required"),"Review"))))</f>
        <v/>
      </c>
      <c r="O79" s="19" t="str">
        <f>IF($B79="","",IF(AND($N79="Action Required",$F79&lt;&gt;"Yes"),"Yes","No"))</f>
        <v/>
      </c>
      <c r="P79" s="19"/>
      <c r="Q79" s="19" t="str">
        <f>IF($B79="","",IF($O79="Yes","Ready for email batch","No email needed"))</f>
        <v/>
      </c>
      <c r="R79" s="19" t="str">
        <f>IF($B79="","",IF($F79="Yes","Stop reminders",IF($N79="Expired","Review expired item",IF($O79="Yes","Send "&amp;$M79&amp;" email to "&amp;$E79,"Monitor"))))</f>
        <v/>
      </c>
    </row>
    <row r="80" spans="1:18" ht="12" customHeight="1">
      <c r="A80" s="19"/>
      <c r="B80" s="19"/>
      <c r="C80" s="19"/>
      <c r="D80" s="19"/>
      <c r="E80" s="19"/>
      <c r="F80" s="19"/>
      <c r="G80" s="19"/>
      <c r="H80" s="19" t="str">
        <f ca="1">IF($B80="","",$D80-TODAY())</f>
        <v/>
      </c>
      <c r="I80" s="19" t="str">
        <f>IF($B80="","",IF($H80&lt;0,"Expired",IF($H80&lt;=7,"0-7 days",IF($H80&lt;=14,"8-14 days",IF($H80&lt;=30,"15-30 days","30+ days")))))</f>
        <v/>
      </c>
      <c r="J80" s="19" t="str">
        <f t="shared" si="6"/>
        <v/>
      </c>
      <c r="K80" s="19" t="str">
        <f t="shared" si="7"/>
        <v/>
      </c>
      <c r="L80" s="19" t="str">
        <f t="shared" si="8"/>
        <v/>
      </c>
      <c r="M80" s="19" t="str">
        <f ca="1">IF($B80="","",IF($F80="Yes","Completed",IF($H80&lt;0,"Expired",IF(TODAY()&gt;=$L80,"3rd Reminder",IF(TODAY()&gt;=$K80,"2nd Reminder",IF(TODAY()&gt;=$J80,"1st Reminder","Not Yet"))))))</f>
        <v/>
      </c>
      <c r="N80" s="19" t="str">
        <f>IF($B80="","",IF($F80="Yes","Completed",IF($H80&lt;0,"Expired",IF(OR($F80="Pending",$F80="No",$F80="On Hold",$F80="Escalate"),IF($M80="Not Yet","Scheduled","Action Required"),"Review"))))</f>
        <v/>
      </c>
      <c r="O80" s="19" t="str">
        <f>IF($B80="","",IF(AND($N80="Action Required",$F80&lt;&gt;"Yes"),"Yes","No"))</f>
        <v/>
      </c>
      <c r="P80" s="19"/>
      <c r="Q80" s="19" t="str">
        <f>IF($B80="","",IF($O80="Yes","Ready for email batch","No email needed"))</f>
        <v/>
      </c>
      <c r="R80" s="19" t="str">
        <f>IF($B80="","",IF($F80="Yes","Stop reminders",IF($N80="Expired","Review expired item",IF($O80="Yes","Send "&amp;$M80&amp;" email to "&amp;$E80,"Monitor"))))</f>
        <v/>
      </c>
    </row>
    <row r="81" spans="1:18" ht="12" customHeight="1">
      <c r="A81" s="19"/>
      <c r="B81" s="19"/>
      <c r="C81" s="19"/>
      <c r="D81" s="19"/>
      <c r="E81" s="19"/>
      <c r="F81" s="19"/>
      <c r="G81" s="19"/>
      <c r="H81" s="19" t="str">
        <f ca="1">IF($B81="","",$D81-TODAY())</f>
        <v/>
      </c>
      <c r="I81" s="19" t="str">
        <f>IF($B81="","",IF($H81&lt;0,"Expired",IF($H81&lt;=7,"0-7 days",IF($H81&lt;=14,"8-14 days",IF($H81&lt;=30,"15-30 days","30+ days")))))</f>
        <v/>
      </c>
      <c r="J81" s="19" t="str">
        <f t="shared" si="6"/>
        <v/>
      </c>
      <c r="K81" s="19" t="str">
        <f t="shared" si="7"/>
        <v/>
      </c>
      <c r="L81" s="19" t="str">
        <f t="shared" si="8"/>
        <v/>
      </c>
      <c r="M81" s="19" t="str">
        <f ca="1">IF($B81="","",IF($F81="Yes","Completed",IF($H81&lt;0,"Expired",IF(TODAY()&gt;=$L81,"3rd Reminder",IF(TODAY()&gt;=$K81,"2nd Reminder",IF(TODAY()&gt;=$J81,"1st Reminder","Not Yet"))))))</f>
        <v/>
      </c>
      <c r="N81" s="19" t="str">
        <f>IF($B81="","",IF($F81="Yes","Completed",IF($H81&lt;0,"Expired",IF(OR($F81="Pending",$F81="No",$F81="On Hold",$F81="Escalate"),IF($M81="Not Yet","Scheduled","Action Required"),"Review"))))</f>
        <v/>
      </c>
      <c r="O81" s="19" t="str">
        <f>IF($B81="","",IF(AND($N81="Action Required",$F81&lt;&gt;"Yes"),"Yes","No"))</f>
        <v/>
      </c>
      <c r="P81" s="19"/>
      <c r="Q81" s="19" t="str">
        <f>IF($B81="","",IF($O81="Yes","Ready for email batch","No email needed"))</f>
        <v/>
      </c>
      <c r="R81" s="19" t="str">
        <f>IF($B81="","",IF($F81="Yes","Stop reminders",IF($N81="Expired","Review expired item",IF($O81="Yes","Send "&amp;$M81&amp;" email to "&amp;$E81,"Monitor"))))</f>
        <v/>
      </c>
    </row>
    <row r="82" spans="1:18" ht="12" customHeight="1">
      <c r="A82" s="19"/>
      <c r="B82" s="19"/>
      <c r="C82" s="19"/>
      <c r="D82" s="19"/>
      <c r="E82" s="19"/>
      <c r="F82" s="19"/>
      <c r="G82" s="19"/>
      <c r="H82" s="19" t="str">
        <f ca="1">IF($B82="","",$D82-TODAY())</f>
        <v/>
      </c>
      <c r="I82" s="19" t="str">
        <f>IF($B82="","",IF($H82&lt;0,"Expired",IF($H82&lt;=7,"0-7 days",IF($H82&lt;=14,"8-14 days",IF($H82&lt;=30,"15-30 days","30+ days")))))</f>
        <v/>
      </c>
      <c r="J82" s="19" t="str">
        <f t="shared" si="6"/>
        <v/>
      </c>
      <c r="K82" s="19" t="str">
        <f t="shared" si="7"/>
        <v/>
      </c>
      <c r="L82" s="19" t="str">
        <f t="shared" si="8"/>
        <v/>
      </c>
      <c r="M82" s="19" t="str">
        <f ca="1">IF($B82="","",IF($F82="Yes","Completed",IF($H82&lt;0,"Expired",IF(TODAY()&gt;=$L82,"3rd Reminder",IF(TODAY()&gt;=$K82,"2nd Reminder",IF(TODAY()&gt;=$J82,"1st Reminder","Not Yet"))))))</f>
        <v/>
      </c>
      <c r="N82" s="19" t="str">
        <f>IF($B82="","",IF($F82="Yes","Completed",IF($H82&lt;0,"Expired",IF(OR($F82="Pending",$F82="No",$F82="On Hold",$F82="Escalate"),IF($M82="Not Yet","Scheduled","Action Required"),"Review"))))</f>
        <v/>
      </c>
      <c r="O82" s="19" t="str">
        <f>IF($B82="","",IF(AND($N82="Action Required",$F82&lt;&gt;"Yes"),"Yes","No"))</f>
        <v/>
      </c>
      <c r="P82" s="19"/>
      <c r="Q82" s="19" t="str">
        <f>IF($B82="","",IF($O82="Yes","Ready for email batch","No email needed"))</f>
        <v/>
      </c>
      <c r="R82" s="19" t="str">
        <f>IF($B82="","",IF($F82="Yes","Stop reminders",IF($N82="Expired","Review expired item",IF($O82="Yes","Send "&amp;$M82&amp;" email to "&amp;$E82,"Monitor"))))</f>
        <v/>
      </c>
    </row>
    <row r="83" spans="1:18" ht="12" customHeight="1">
      <c r="A83" s="19"/>
      <c r="B83" s="19"/>
      <c r="C83" s="19"/>
      <c r="D83" s="19"/>
      <c r="E83" s="19"/>
      <c r="F83" s="19"/>
      <c r="G83" s="19"/>
      <c r="H83" s="19" t="str">
        <f ca="1">IF($B83="","",$D83-TODAY())</f>
        <v/>
      </c>
      <c r="I83" s="19" t="str">
        <f>IF($B83="","",IF($H83&lt;0,"Expired",IF($H83&lt;=7,"0-7 days",IF($H83&lt;=14,"8-14 days",IF($H83&lt;=30,"15-30 days","30+ days")))))</f>
        <v/>
      </c>
      <c r="J83" s="19" t="str">
        <f t="shared" si="6"/>
        <v/>
      </c>
      <c r="K83" s="19" t="str">
        <f t="shared" si="7"/>
        <v/>
      </c>
      <c r="L83" s="19" t="str">
        <f t="shared" si="8"/>
        <v/>
      </c>
      <c r="M83" s="19" t="str">
        <f ca="1">IF($B83="","",IF($F83="Yes","Completed",IF($H83&lt;0,"Expired",IF(TODAY()&gt;=$L83,"3rd Reminder",IF(TODAY()&gt;=$K83,"2nd Reminder",IF(TODAY()&gt;=$J83,"1st Reminder","Not Yet"))))))</f>
        <v/>
      </c>
      <c r="N83" s="19" t="str">
        <f>IF($B83="","",IF($F83="Yes","Completed",IF($H83&lt;0,"Expired",IF(OR($F83="Pending",$F83="No",$F83="On Hold",$F83="Escalate"),IF($M83="Not Yet","Scheduled","Action Required"),"Review"))))</f>
        <v/>
      </c>
      <c r="O83" s="19" t="str">
        <f>IF($B83="","",IF(AND($N83="Action Required",$F83&lt;&gt;"Yes"),"Yes","No"))</f>
        <v/>
      </c>
      <c r="P83" s="19"/>
      <c r="Q83" s="19" t="str">
        <f>IF($B83="","",IF($O83="Yes","Ready for email batch","No email needed"))</f>
        <v/>
      </c>
      <c r="R83" s="19" t="str">
        <f>IF($B83="","",IF($F83="Yes","Stop reminders",IF($N83="Expired","Review expired item",IF($O83="Yes","Send "&amp;$M83&amp;" email to "&amp;$E83,"Monitor"))))</f>
        <v/>
      </c>
    </row>
    <row r="84" spans="1:18" ht="12" customHeight="1">
      <c r="A84" s="19"/>
      <c r="B84" s="19"/>
      <c r="C84" s="19"/>
      <c r="D84" s="19"/>
      <c r="E84" s="19"/>
      <c r="F84" s="19"/>
      <c r="G84" s="19"/>
      <c r="H84" s="19" t="str">
        <f ca="1">IF($B84="","",$D84-TODAY())</f>
        <v/>
      </c>
      <c r="I84" s="19" t="str">
        <f>IF($B84="","",IF($H84&lt;0,"Expired",IF($H84&lt;=7,"0-7 days",IF($H84&lt;=14,"8-14 days",IF($H84&lt;=30,"15-30 days","30+ days")))))</f>
        <v/>
      </c>
      <c r="J84" s="19" t="str">
        <f t="shared" si="6"/>
        <v/>
      </c>
      <c r="K84" s="19" t="str">
        <f t="shared" si="7"/>
        <v/>
      </c>
      <c r="L84" s="19" t="str">
        <f t="shared" si="8"/>
        <v/>
      </c>
      <c r="M84" s="19" t="str">
        <f ca="1">IF($B84="","",IF($F84="Yes","Completed",IF($H84&lt;0,"Expired",IF(TODAY()&gt;=$L84,"3rd Reminder",IF(TODAY()&gt;=$K84,"2nd Reminder",IF(TODAY()&gt;=$J84,"1st Reminder","Not Yet"))))))</f>
        <v/>
      </c>
      <c r="N84" s="19" t="str">
        <f>IF($B84="","",IF($F84="Yes","Completed",IF($H84&lt;0,"Expired",IF(OR($F84="Pending",$F84="No",$F84="On Hold",$F84="Escalate"),IF($M84="Not Yet","Scheduled","Action Required"),"Review"))))</f>
        <v/>
      </c>
      <c r="O84" s="19" t="str">
        <f>IF($B84="","",IF(AND($N84="Action Required",$F84&lt;&gt;"Yes"),"Yes","No"))</f>
        <v/>
      </c>
      <c r="P84" s="19"/>
      <c r="Q84" s="19" t="str">
        <f>IF($B84="","",IF($O84="Yes","Ready for email batch","No email needed"))</f>
        <v/>
      </c>
      <c r="R84" s="19" t="str">
        <f>IF($B84="","",IF($F84="Yes","Stop reminders",IF($N84="Expired","Review expired item",IF($O84="Yes","Send "&amp;$M84&amp;" email to "&amp;$E84,"Monitor"))))</f>
        <v/>
      </c>
    </row>
    <row r="85" spans="1:18" ht="12" customHeight="1">
      <c r="A85" s="19"/>
      <c r="B85" s="19"/>
      <c r="C85" s="19"/>
      <c r="D85" s="19"/>
      <c r="E85" s="19"/>
      <c r="F85" s="19"/>
      <c r="G85" s="19"/>
      <c r="H85" s="19" t="str">
        <f ca="1">IF($B85="","",$D85-TODAY())</f>
        <v/>
      </c>
      <c r="I85" s="19" t="str">
        <f>IF($B85="","",IF($H85&lt;0,"Expired",IF($H85&lt;=7,"0-7 days",IF($H85&lt;=14,"8-14 days",IF($H85&lt;=30,"15-30 days","30+ days")))))</f>
        <v/>
      </c>
      <c r="J85" s="19" t="str">
        <f t="shared" si="6"/>
        <v/>
      </c>
      <c r="K85" s="19" t="str">
        <f t="shared" si="7"/>
        <v/>
      </c>
      <c r="L85" s="19" t="str">
        <f t="shared" si="8"/>
        <v/>
      </c>
      <c r="M85" s="19" t="str">
        <f ca="1">IF($B85="","",IF($F85="Yes","Completed",IF($H85&lt;0,"Expired",IF(TODAY()&gt;=$L85,"3rd Reminder",IF(TODAY()&gt;=$K85,"2nd Reminder",IF(TODAY()&gt;=$J85,"1st Reminder","Not Yet"))))))</f>
        <v/>
      </c>
      <c r="N85" s="19" t="str">
        <f>IF($B85="","",IF($F85="Yes","Completed",IF($H85&lt;0,"Expired",IF(OR($F85="Pending",$F85="No",$F85="On Hold",$F85="Escalate"),IF($M85="Not Yet","Scheduled","Action Required"),"Review"))))</f>
        <v/>
      </c>
      <c r="O85" s="19" t="str">
        <f>IF($B85="","",IF(AND($N85="Action Required",$F85&lt;&gt;"Yes"),"Yes","No"))</f>
        <v/>
      </c>
      <c r="P85" s="19"/>
      <c r="Q85" s="19" t="str">
        <f>IF($B85="","",IF($O85="Yes","Ready for email batch","No email needed"))</f>
        <v/>
      </c>
      <c r="R85" s="19" t="str">
        <f>IF($B85="","",IF($F85="Yes","Stop reminders",IF($N85="Expired","Review expired item",IF($O85="Yes","Send "&amp;$M85&amp;" email to "&amp;$E85,"Monitor"))))</f>
        <v/>
      </c>
    </row>
    <row r="86" spans="1:18" ht="12" customHeight="1">
      <c r="A86" s="19"/>
      <c r="B86" s="19"/>
      <c r="C86" s="19"/>
      <c r="D86" s="19"/>
      <c r="E86" s="19"/>
      <c r="F86" s="19"/>
      <c r="G86" s="19"/>
      <c r="H86" s="19" t="str">
        <f ca="1">IF($B86="","",$D86-TODAY())</f>
        <v/>
      </c>
      <c r="I86" s="19" t="str">
        <f>IF($B86="","",IF($H86&lt;0,"Expired",IF($H86&lt;=7,"0-7 days",IF($H86&lt;=14,"8-14 days",IF($H86&lt;=30,"15-30 days","30+ days")))))</f>
        <v/>
      </c>
      <c r="J86" s="19" t="str">
        <f t="shared" si="6"/>
        <v/>
      </c>
      <c r="K86" s="19" t="str">
        <f t="shared" si="7"/>
        <v/>
      </c>
      <c r="L86" s="19" t="str">
        <f t="shared" si="8"/>
        <v/>
      </c>
      <c r="M86" s="19" t="str">
        <f ca="1">IF($B86="","",IF($F86="Yes","Completed",IF($H86&lt;0,"Expired",IF(TODAY()&gt;=$L86,"3rd Reminder",IF(TODAY()&gt;=$K86,"2nd Reminder",IF(TODAY()&gt;=$J86,"1st Reminder","Not Yet"))))))</f>
        <v/>
      </c>
      <c r="N86" s="19" t="str">
        <f>IF($B86="","",IF($F86="Yes","Completed",IF($H86&lt;0,"Expired",IF(OR($F86="Pending",$F86="No",$F86="On Hold",$F86="Escalate"),IF($M86="Not Yet","Scheduled","Action Required"),"Review"))))</f>
        <v/>
      </c>
      <c r="O86" s="19" t="str">
        <f>IF($B86="","",IF(AND($N86="Action Required",$F86&lt;&gt;"Yes"),"Yes","No"))</f>
        <v/>
      </c>
      <c r="P86" s="19"/>
      <c r="Q86" s="19" t="str">
        <f>IF($B86="","",IF($O86="Yes","Ready for email batch","No email needed"))</f>
        <v/>
      </c>
      <c r="R86" s="19" t="str">
        <f>IF($B86="","",IF($F86="Yes","Stop reminders",IF($N86="Expired","Review expired item",IF($O86="Yes","Send "&amp;$M86&amp;" email to "&amp;$E86,"Monitor"))))</f>
        <v/>
      </c>
    </row>
    <row r="87" spans="1:18" ht="12" customHeight="1">
      <c r="A87" s="19"/>
      <c r="B87" s="19"/>
      <c r="C87" s="19"/>
      <c r="D87" s="19"/>
      <c r="E87" s="19"/>
      <c r="F87" s="19"/>
      <c r="G87" s="19"/>
      <c r="H87" s="19" t="str">
        <f ca="1">IF($B87="","",$D87-TODAY())</f>
        <v/>
      </c>
      <c r="I87" s="19" t="str">
        <f>IF($B87="","",IF($H87&lt;0,"Expired",IF($H87&lt;=7,"0-7 days",IF($H87&lt;=14,"8-14 days",IF($H87&lt;=30,"15-30 days","30+ days")))))</f>
        <v/>
      </c>
      <c r="J87" s="19" t="str">
        <f t="shared" si="6"/>
        <v/>
      </c>
      <c r="K87" s="19" t="str">
        <f t="shared" si="7"/>
        <v/>
      </c>
      <c r="L87" s="19" t="str">
        <f t="shared" si="8"/>
        <v/>
      </c>
      <c r="M87" s="19" t="str">
        <f ca="1">IF($B87="","",IF($F87="Yes","Completed",IF($H87&lt;0,"Expired",IF(TODAY()&gt;=$L87,"3rd Reminder",IF(TODAY()&gt;=$K87,"2nd Reminder",IF(TODAY()&gt;=$J87,"1st Reminder","Not Yet"))))))</f>
        <v/>
      </c>
      <c r="N87" s="19" t="str">
        <f>IF($B87="","",IF($F87="Yes","Completed",IF($H87&lt;0,"Expired",IF(OR($F87="Pending",$F87="No",$F87="On Hold",$F87="Escalate"),IF($M87="Not Yet","Scheduled","Action Required"),"Review"))))</f>
        <v/>
      </c>
      <c r="O87" s="19" t="str">
        <f>IF($B87="","",IF(AND($N87="Action Required",$F87&lt;&gt;"Yes"),"Yes","No"))</f>
        <v/>
      </c>
      <c r="P87" s="19"/>
      <c r="Q87" s="19" t="str">
        <f>IF($B87="","",IF($O87="Yes","Ready for email batch","No email needed"))</f>
        <v/>
      </c>
      <c r="R87" s="19" t="str">
        <f>IF($B87="","",IF($F87="Yes","Stop reminders",IF($N87="Expired","Review expired item",IF($O87="Yes","Send "&amp;$M87&amp;" email to "&amp;$E87,"Monitor"))))</f>
        <v/>
      </c>
    </row>
    <row r="88" spans="1:18" ht="12" customHeight="1">
      <c r="A88" s="19"/>
      <c r="B88" s="19"/>
      <c r="C88" s="19"/>
      <c r="D88" s="19"/>
      <c r="E88" s="19"/>
      <c r="F88" s="19"/>
      <c r="G88" s="19"/>
      <c r="H88" s="19" t="str">
        <f ca="1">IF($B88="","",$D88-TODAY())</f>
        <v/>
      </c>
      <c r="I88" s="19" t="str">
        <f>IF($B88="","",IF($H88&lt;0,"Expired",IF($H88&lt;=7,"0-7 days",IF($H88&lt;=14,"8-14 days",IF($H88&lt;=30,"15-30 days","30+ days")))))</f>
        <v/>
      </c>
      <c r="J88" s="19" t="str">
        <f t="shared" si="6"/>
        <v/>
      </c>
      <c r="K88" s="19" t="str">
        <f t="shared" si="7"/>
        <v/>
      </c>
      <c r="L88" s="19" t="str">
        <f t="shared" si="8"/>
        <v/>
      </c>
      <c r="M88" s="19" t="str">
        <f ca="1">IF($B88="","",IF($F88="Yes","Completed",IF($H88&lt;0,"Expired",IF(TODAY()&gt;=$L88,"3rd Reminder",IF(TODAY()&gt;=$K88,"2nd Reminder",IF(TODAY()&gt;=$J88,"1st Reminder","Not Yet"))))))</f>
        <v/>
      </c>
      <c r="N88" s="19" t="str">
        <f>IF($B88="","",IF($F88="Yes","Completed",IF($H88&lt;0,"Expired",IF(OR($F88="Pending",$F88="No",$F88="On Hold",$F88="Escalate"),IF($M88="Not Yet","Scheduled","Action Required"),"Review"))))</f>
        <v/>
      </c>
      <c r="O88" s="19" t="str">
        <f>IF($B88="","",IF(AND($N88="Action Required",$F88&lt;&gt;"Yes"),"Yes","No"))</f>
        <v/>
      </c>
      <c r="P88" s="19"/>
      <c r="Q88" s="19" t="str">
        <f>IF($B88="","",IF($O88="Yes","Ready for email batch","No email needed"))</f>
        <v/>
      </c>
      <c r="R88" s="19" t="str">
        <f>IF($B88="","",IF($F88="Yes","Stop reminders",IF($N88="Expired","Review expired item",IF($O88="Yes","Send "&amp;$M88&amp;" email to "&amp;$E88,"Monitor"))))</f>
        <v/>
      </c>
    </row>
    <row r="89" spans="1:18" ht="12" customHeight="1">
      <c r="A89" s="19"/>
      <c r="B89" s="19"/>
      <c r="C89" s="19"/>
      <c r="D89" s="19"/>
      <c r="E89" s="19"/>
      <c r="F89" s="19"/>
      <c r="G89" s="19"/>
      <c r="H89" s="19" t="str">
        <f ca="1">IF($B89="","",$D89-TODAY())</f>
        <v/>
      </c>
      <c r="I89" s="19" t="str">
        <f>IF($B89="","",IF($H89&lt;0,"Expired",IF($H89&lt;=7,"0-7 days",IF($H89&lt;=14,"8-14 days",IF($H89&lt;=30,"15-30 days","30+ days")))))</f>
        <v/>
      </c>
      <c r="J89" s="19" t="str">
        <f t="shared" si="6"/>
        <v/>
      </c>
      <c r="K89" s="19" t="str">
        <f t="shared" si="7"/>
        <v/>
      </c>
      <c r="L89" s="19" t="str">
        <f t="shared" si="8"/>
        <v/>
      </c>
      <c r="M89" s="19" t="str">
        <f ca="1">IF($B89="","",IF($F89="Yes","Completed",IF($H89&lt;0,"Expired",IF(TODAY()&gt;=$L89,"3rd Reminder",IF(TODAY()&gt;=$K89,"2nd Reminder",IF(TODAY()&gt;=$J89,"1st Reminder","Not Yet"))))))</f>
        <v/>
      </c>
      <c r="N89" s="19" t="str">
        <f>IF($B89="","",IF($F89="Yes","Completed",IF($H89&lt;0,"Expired",IF(OR($F89="Pending",$F89="No",$F89="On Hold",$F89="Escalate"),IF($M89="Not Yet","Scheduled","Action Required"),"Review"))))</f>
        <v/>
      </c>
      <c r="O89" s="19" t="str">
        <f>IF($B89="","",IF(AND($N89="Action Required",$F89&lt;&gt;"Yes"),"Yes","No"))</f>
        <v/>
      </c>
      <c r="P89" s="19"/>
      <c r="Q89" s="19" t="str">
        <f>IF($B89="","",IF($O89="Yes","Ready for email batch","No email needed"))</f>
        <v/>
      </c>
      <c r="R89" s="19" t="str">
        <f>IF($B89="","",IF($F89="Yes","Stop reminders",IF($N89="Expired","Review expired item",IF($O89="Yes","Send "&amp;$M89&amp;" email to "&amp;$E89,"Monitor"))))</f>
        <v/>
      </c>
    </row>
    <row r="90" spans="1:18" ht="12" customHeight="1">
      <c r="A90" s="19"/>
      <c r="B90" s="19"/>
      <c r="C90" s="19"/>
      <c r="D90" s="19"/>
      <c r="E90" s="19"/>
      <c r="F90" s="19"/>
      <c r="G90" s="19"/>
      <c r="H90" s="19" t="str">
        <f ca="1">IF($B90="","",$D90-TODAY())</f>
        <v/>
      </c>
      <c r="I90" s="19" t="str">
        <f>IF($B90="","",IF($H90&lt;0,"Expired",IF($H90&lt;=7,"0-7 days",IF($H90&lt;=14,"8-14 days",IF($H90&lt;=30,"15-30 days","30+ days")))))</f>
        <v/>
      </c>
      <c r="J90" s="19" t="str">
        <f t="shared" si="6"/>
        <v/>
      </c>
      <c r="K90" s="19" t="str">
        <f t="shared" si="7"/>
        <v/>
      </c>
      <c r="L90" s="19" t="str">
        <f t="shared" si="8"/>
        <v/>
      </c>
      <c r="M90" s="19" t="str">
        <f ca="1">IF($B90="","",IF($F90="Yes","Completed",IF($H90&lt;0,"Expired",IF(TODAY()&gt;=$L90,"3rd Reminder",IF(TODAY()&gt;=$K90,"2nd Reminder",IF(TODAY()&gt;=$J90,"1st Reminder","Not Yet"))))))</f>
        <v/>
      </c>
      <c r="N90" s="19" t="str">
        <f>IF($B90="","",IF($F90="Yes","Completed",IF($H90&lt;0,"Expired",IF(OR($F90="Pending",$F90="No",$F90="On Hold",$F90="Escalate"),IF($M90="Not Yet","Scheduled","Action Required"),"Review"))))</f>
        <v/>
      </c>
      <c r="O90" s="19" t="str">
        <f>IF($B90="","",IF(AND($N90="Action Required",$F90&lt;&gt;"Yes"),"Yes","No"))</f>
        <v/>
      </c>
      <c r="P90" s="19"/>
      <c r="Q90" s="19" t="str">
        <f>IF($B90="","",IF($O90="Yes","Ready for email batch","No email needed"))</f>
        <v/>
      </c>
      <c r="R90" s="19" t="str">
        <f>IF($B90="","",IF($F90="Yes","Stop reminders",IF($N90="Expired","Review expired item",IF($O90="Yes","Send "&amp;$M90&amp;" email to "&amp;$E90,"Monitor"))))</f>
        <v/>
      </c>
    </row>
    <row r="91" spans="1:18" ht="12" customHeight="1">
      <c r="A91" s="19"/>
      <c r="B91" s="19"/>
      <c r="C91" s="19"/>
      <c r="D91" s="19"/>
      <c r="E91" s="19"/>
      <c r="F91" s="19"/>
      <c r="G91" s="19"/>
      <c r="H91" s="19" t="str">
        <f ca="1">IF($B91="","",$D91-TODAY())</f>
        <v/>
      </c>
      <c r="I91" s="19" t="str">
        <f>IF($B91="","",IF($H91&lt;0,"Expired",IF($H91&lt;=7,"0-7 days",IF($H91&lt;=14,"8-14 days",IF($H91&lt;=30,"15-30 days","30+ days")))))</f>
        <v/>
      </c>
      <c r="J91" s="19" t="str">
        <f t="shared" si="6"/>
        <v/>
      </c>
      <c r="K91" s="19" t="str">
        <f t="shared" si="7"/>
        <v/>
      </c>
      <c r="L91" s="19" t="str">
        <f t="shared" si="8"/>
        <v/>
      </c>
      <c r="M91" s="19" t="str">
        <f ca="1">IF($B91="","",IF($F91="Yes","Completed",IF($H91&lt;0,"Expired",IF(TODAY()&gt;=$L91,"3rd Reminder",IF(TODAY()&gt;=$K91,"2nd Reminder",IF(TODAY()&gt;=$J91,"1st Reminder","Not Yet"))))))</f>
        <v/>
      </c>
      <c r="N91" s="19" t="str">
        <f>IF($B91="","",IF($F91="Yes","Completed",IF($H91&lt;0,"Expired",IF(OR($F91="Pending",$F91="No",$F91="On Hold",$F91="Escalate"),IF($M91="Not Yet","Scheduled","Action Required"),"Review"))))</f>
        <v/>
      </c>
      <c r="O91" s="19" t="str">
        <f>IF($B91="","",IF(AND($N91="Action Required",$F91&lt;&gt;"Yes"),"Yes","No"))</f>
        <v/>
      </c>
      <c r="P91" s="19"/>
      <c r="Q91" s="19" t="str">
        <f>IF($B91="","",IF($O91="Yes","Ready for email batch","No email needed"))</f>
        <v/>
      </c>
      <c r="R91" s="19" t="str">
        <f>IF($B91="","",IF($F91="Yes","Stop reminders",IF($N91="Expired","Review expired item",IF($O91="Yes","Send "&amp;$M91&amp;" email to "&amp;$E91,"Monitor"))))</f>
        <v/>
      </c>
    </row>
    <row r="92" spans="1:18" ht="12" customHeight="1">
      <c r="A92" s="19"/>
      <c r="B92" s="19"/>
      <c r="C92" s="19"/>
      <c r="D92" s="19"/>
      <c r="E92" s="19"/>
      <c r="F92" s="19"/>
      <c r="G92" s="19"/>
      <c r="H92" s="19" t="str">
        <f ca="1">IF($B92="","",$D92-TODAY())</f>
        <v/>
      </c>
      <c r="I92" s="19" t="str">
        <f>IF($B92="","",IF($H92&lt;0,"Expired",IF($H92&lt;=7,"0-7 days",IF($H92&lt;=14,"8-14 days",IF($H92&lt;=30,"15-30 days","30+ days")))))</f>
        <v/>
      </c>
      <c r="J92" s="19" t="str">
        <f t="shared" si="6"/>
        <v/>
      </c>
      <c r="K92" s="19" t="str">
        <f t="shared" si="7"/>
        <v/>
      </c>
      <c r="L92" s="19" t="str">
        <f t="shared" si="8"/>
        <v/>
      </c>
      <c r="M92" s="19" t="str">
        <f ca="1">IF($B92="","",IF($F92="Yes","Completed",IF($H92&lt;0,"Expired",IF(TODAY()&gt;=$L92,"3rd Reminder",IF(TODAY()&gt;=$K92,"2nd Reminder",IF(TODAY()&gt;=$J92,"1st Reminder","Not Yet"))))))</f>
        <v/>
      </c>
      <c r="N92" s="19" t="str">
        <f>IF($B92="","",IF($F92="Yes","Completed",IF($H92&lt;0,"Expired",IF(OR($F92="Pending",$F92="No",$F92="On Hold",$F92="Escalate"),IF($M92="Not Yet","Scheduled","Action Required"),"Review"))))</f>
        <v/>
      </c>
      <c r="O92" s="19" t="str">
        <f>IF($B92="","",IF(AND($N92="Action Required",$F92&lt;&gt;"Yes"),"Yes","No"))</f>
        <v/>
      </c>
      <c r="P92" s="19"/>
      <c r="Q92" s="19" t="str">
        <f>IF($B92="","",IF($O92="Yes","Ready for email batch","No email needed"))</f>
        <v/>
      </c>
      <c r="R92" s="19" t="str">
        <f>IF($B92="","",IF($F92="Yes","Stop reminders",IF($N92="Expired","Review expired item",IF($O92="Yes","Send "&amp;$M92&amp;" email to "&amp;$E92,"Monitor"))))</f>
        <v/>
      </c>
    </row>
    <row r="93" spans="1:18" ht="12" customHeight="1">
      <c r="A93" s="19"/>
      <c r="B93" s="19"/>
      <c r="C93" s="19"/>
      <c r="D93" s="19"/>
      <c r="E93" s="19"/>
      <c r="F93" s="19"/>
      <c r="G93" s="19"/>
      <c r="H93" s="19" t="str">
        <f ca="1">IF($B93="","",$D93-TODAY())</f>
        <v/>
      </c>
      <c r="I93" s="19" t="str">
        <f>IF($B93="","",IF($H93&lt;0,"Expired",IF($H93&lt;=7,"0-7 days",IF($H93&lt;=14,"8-14 days",IF($H93&lt;=30,"15-30 days","30+ days")))))</f>
        <v/>
      </c>
      <c r="J93" s="19" t="str">
        <f t="shared" si="6"/>
        <v/>
      </c>
      <c r="K93" s="19" t="str">
        <f t="shared" si="7"/>
        <v/>
      </c>
      <c r="L93" s="19" t="str">
        <f t="shared" si="8"/>
        <v/>
      </c>
      <c r="M93" s="19" t="str">
        <f ca="1">IF($B93="","",IF($F93="Yes","Completed",IF($H93&lt;0,"Expired",IF(TODAY()&gt;=$L93,"3rd Reminder",IF(TODAY()&gt;=$K93,"2nd Reminder",IF(TODAY()&gt;=$J93,"1st Reminder","Not Yet"))))))</f>
        <v/>
      </c>
      <c r="N93" s="19" t="str">
        <f>IF($B93="","",IF($F93="Yes","Completed",IF($H93&lt;0,"Expired",IF(OR($F93="Pending",$F93="No",$F93="On Hold",$F93="Escalate"),IF($M93="Not Yet","Scheduled","Action Required"),"Review"))))</f>
        <v/>
      </c>
      <c r="O93" s="19" t="str">
        <f>IF($B93="","",IF(AND($N93="Action Required",$F93&lt;&gt;"Yes"),"Yes","No"))</f>
        <v/>
      </c>
      <c r="P93" s="19"/>
      <c r="Q93" s="19" t="str">
        <f>IF($B93="","",IF($O93="Yes","Ready for email batch","No email needed"))</f>
        <v/>
      </c>
      <c r="R93" s="19" t="str">
        <f>IF($B93="","",IF($F93="Yes","Stop reminders",IF($N93="Expired","Review expired item",IF($O93="Yes","Send "&amp;$M93&amp;" email to "&amp;$E93,"Monitor"))))</f>
        <v/>
      </c>
    </row>
    <row r="94" spans="1:18" ht="12" customHeight="1">
      <c r="A94" s="19"/>
      <c r="B94" s="19"/>
      <c r="C94" s="19"/>
      <c r="D94" s="19"/>
      <c r="E94" s="19"/>
      <c r="F94" s="19"/>
      <c r="G94" s="19"/>
      <c r="H94" s="19" t="str">
        <f ca="1">IF($B94="","",$D94-TODAY())</f>
        <v/>
      </c>
      <c r="I94" s="19" t="str">
        <f>IF($B94="","",IF($H94&lt;0,"Expired",IF($H94&lt;=7,"0-7 days",IF($H94&lt;=14,"8-14 days",IF($H94&lt;=30,"15-30 days","30+ days")))))</f>
        <v/>
      </c>
      <c r="J94" s="19" t="str">
        <f t="shared" si="6"/>
        <v/>
      </c>
      <c r="K94" s="19" t="str">
        <f t="shared" si="7"/>
        <v/>
      </c>
      <c r="L94" s="19" t="str">
        <f t="shared" si="8"/>
        <v/>
      </c>
      <c r="M94" s="19" t="str">
        <f ca="1">IF($B94="","",IF($F94="Yes","Completed",IF($H94&lt;0,"Expired",IF(TODAY()&gt;=$L94,"3rd Reminder",IF(TODAY()&gt;=$K94,"2nd Reminder",IF(TODAY()&gt;=$J94,"1st Reminder","Not Yet"))))))</f>
        <v/>
      </c>
      <c r="N94" s="19" t="str">
        <f>IF($B94="","",IF($F94="Yes","Completed",IF($H94&lt;0,"Expired",IF(OR($F94="Pending",$F94="No",$F94="On Hold",$F94="Escalate"),IF($M94="Not Yet","Scheduled","Action Required"),"Review"))))</f>
        <v/>
      </c>
      <c r="O94" s="19" t="str">
        <f>IF($B94="","",IF(AND($N94="Action Required",$F94&lt;&gt;"Yes"),"Yes","No"))</f>
        <v/>
      </c>
      <c r="P94" s="19"/>
      <c r="Q94" s="19" t="str">
        <f>IF($B94="","",IF($O94="Yes","Ready for email batch","No email needed"))</f>
        <v/>
      </c>
      <c r="R94" s="19" t="str">
        <f>IF($B94="","",IF($F94="Yes","Stop reminders",IF($N94="Expired","Review expired item",IF($O94="Yes","Send "&amp;$M94&amp;" email to "&amp;$E94,"Monitor"))))</f>
        <v/>
      </c>
    </row>
    <row r="95" spans="1:18" ht="12" customHeight="1">
      <c r="A95" s="19"/>
      <c r="B95" s="19"/>
      <c r="C95" s="19"/>
      <c r="D95" s="19"/>
      <c r="E95" s="19"/>
      <c r="F95" s="19"/>
      <c r="G95" s="19"/>
      <c r="H95" s="19" t="str">
        <f ca="1">IF($B95="","",$D95-TODAY())</f>
        <v/>
      </c>
      <c r="I95" s="19" t="str">
        <f>IF($B95="","",IF($H95&lt;0,"Expired",IF($H95&lt;=7,"0-7 days",IF($H95&lt;=14,"8-14 days",IF($H95&lt;=30,"15-30 days","30+ days")))))</f>
        <v/>
      </c>
      <c r="J95" s="19" t="str">
        <f t="shared" si="6"/>
        <v/>
      </c>
      <c r="K95" s="19" t="str">
        <f t="shared" si="7"/>
        <v/>
      </c>
      <c r="L95" s="19" t="str">
        <f t="shared" si="8"/>
        <v/>
      </c>
      <c r="M95" s="19" t="str">
        <f ca="1">IF($B95="","",IF($F95="Yes","Completed",IF($H95&lt;0,"Expired",IF(TODAY()&gt;=$L95,"3rd Reminder",IF(TODAY()&gt;=$K95,"2nd Reminder",IF(TODAY()&gt;=$J95,"1st Reminder","Not Yet"))))))</f>
        <v/>
      </c>
      <c r="N95" s="19" t="str">
        <f>IF($B95="","",IF($F95="Yes","Completed",IF($H95&lt;0,"Expired",IF(OR($F95="Pending",$F95="No",$F95="On Hold",$F95="Escalate"),IF($M95="Not Yet","Scheduled","Action Required"),"Review"))))</f>
        <v/>
      </c>
      <c r="O95" s="19" t="str">
        <f>IF($B95="","",IF(AND($N95="Action Required",$F95&lt;&gt;"Yes"),"Yes","No"))</f>
        <v/>
      </c>
      <c r="P95" s="19"/>
      <c r="Q95" s="19" t="str">
        <f>IF($B95="","",IF($O95="Yes","Ready for email batch","No email needed"))</f>
        <v/>
      </c>
      <c r="R95" s="19" t="str">
        <f>IF($B95="","",IF($F95="Yes","Stop reminders",IF($N95="Expired","Review expired item",IF($O95="Yes","Send "&amp;$M95&amp;" email to "&amp;$E95,"Monitor"))))</f>
        <v/>
      </c>
    </row>
    <row r="96" spans="1:18" ht="12" customHeight="1">
      <c r="A96" s="19"/>
      <c r="B96" s="19"/>
      <c r="C96" s="19"/>
      <c r="D96" s="19"/>
      <c r="E96" s="19"/>
      <c r="F96" s="19"/>
      <c r="G96" s="19"/>
      <c r="H96" s="19" t="str">
        <f ca="1">IF($B96="","",$D96-TODAY())</f>
        <v/>
      </c>
      <c r="I96" s="19" t="str">
        <f>IF($B96="","",IF($H96&lt;0,"Expired",IF($H96&lt;=7,"0-7 days",IF($H96&lt;=14,"8-14 days",IF($H96&lt;=30,"15-30 days","30+ days")))))</f>
        <v/>
      </c>
      <c r="J96" s="19" t="str">
        <f t="shared" si="6"/>
        <v/>
      </c>
      <c r="K96" s="19" t="str">
        <f t="shared" si="7"/>
        <v/>
      </c>
      <c r="L96" s="19" t="str">
        <f t="shared" si="8"/>
        <v/>
      </c>
      <c r="M96" s="19" t="str">
        <f ca="1">IF($B96="","",IF($F96="Yes","Completed",IF($H96&lt;0,"Expired",IF(TODAY()&gt;=$L96,"3rd Reminder",IF(TODAY()&gt;=$K96,"2nd Reminder",IF(TODAY()&gt;=$J96,"1st Reminder","Not Yet"))))))</f>
        <v/>
      </c>
      <c r="N96" s="19" t="str">
        <f>IF($B96="","",IF($F96="Yes","Completed",IF($H96&lt;0,"Expired",IF(OR($F96="Pending",$F96="No",$F96="On Hold",$F96="Escalate"),IF($M96="Not Yet","Scheduled","Action Required"),"Review"))))</f>
        <v/>
      </c>
      <c r="O96" s="19" t="str">
        <f>IF($B96="","",IF(AND($N96="Action Required",$F96&lt;&gt;"Yes"),"Yes","No"))</f>
        <v/>
      </c>
      <c r="P96" s="19"/>
      <c r="Q96" s="19" t="str">
        <f>IF($B96="","",IF($O96="Yes","Ready for email batch","No email needed"))</f>
        <v/>
      </c>
      <c r="R96" s="19" t="str">
        <f>IF($B96="","",IF($F96="Yes","Stop reminders",IF($N96="Expired","Review expired item",IF($O96="Yes","Send "&amp;$M96&amp;" email to "&amp;$E96,"Monitor"))))</f>
        <v/>
      </c>
    </row>
    <row r="97" spans="1:18" ht="12" customHeight="1">
      <c r="A97" s="19"/>
      <c r="B97" s="19"/>
      <c r="C97" s="19"/>
      <c r="D97" s="19"/>
      <c r="E97" s="19"/>
      <c r="F97" s="19"/>
      <c r="G97" s="19"/>
      <c r="H97" s="19" t="str">
        <f ca="1">IF($B97="","",$D97-TODAY())</f>
        <v/>
      </c>
      <c r="I97" s="19" t="str">
        <f>IF($B97="","",IF($H97&lt;0,"Expired",IF($H97&lt;=7,"0-7 days",IF($H97&lt;=14,"8-14 days",IF($H97&lt;=30,"15-30 days","30+ days")))))</f>
        <v/>
      </c>
      <c r="J97" s="19" t="str">
        <f t="shared" si="6"/>
        <v/>
      </c>
      <c r="K97" s="19" t="str">
        <f t="shared" si="7"/>
        <v/>
      </c>
      <c r="L97" s="19" t="str">
        <f t="shared" si="8"/>
        <v/>
      </c>
      <c r="M97" s="19" t="str">
        <f ca="1">IF($B97="","",IF($F97="Yes","Completed",IF($H97&lt;0,"Expired",IF(TODAY()&gt;=$L97,"3rd Reminder",IF(TODAY()&gt;=$K97,"2nd Reminder",IF(TODAY()&gt;=$J97,"1st Reminder","Not Yet"))))))</f>
        <v/>
      </c>
      <c r="N97" s="19" t="str">
        <f>IF($B97="","",IF($F97="Yes","Completed",IF($H97&lt;0,"Expired",IF(OR($F97="Pending",$F97="No",$F97="On Hold",$F97="Escalate"),IF($M97="Not Yet","Scheduled","Action Required"),"Review"))))</f>
        <v/>
      </c>
      <c r="O97" s="19" t="str">
        <f>IF($B97="","",IF(AND($N97="Action Required",$F97&lt;&gt;"Yes"),"Yes","No"))</f>
        <v/>
      </c>
      <c r="P97" s="19"/>
      <c r="Q97" s="19" t="str">
        <f>IF($B97="","",IF($O97="Yes","Ready for email batch","No email needed"))</f>
        <v/>
      </c>
      <c r="R97" s="19" t="str">
        <f>IF($B97="","",IF($F97="Yes","Stop reminders",IF($N97="Expired","Review expired item",IF($O97="Yes","Send "&amp;$M97&amp;" email to "&amp;$E97,"Monitor"))))</f>
        <v/>
      </c>
    </row>
    <row r="98" spans="1:18" ht="12" customHeight="1">
      <c r="A98" s="19"/>
      <c r="B98" s="19"/>
      <c r="C98" s="19"/>
      <c r="D98" s="19"/>
      <c r="E98" s="19"/>
      <c r="F98" s="19"/>
      <c r="G98" s="19"/>
      <c r="H98" s="19" t="str">
        <f ca="1">IF($B98="","",$D98-TODAY())</f>
        <v/>
      </c>
      <c r="I98" s="19" t="str">
        <f>IF($B98="","",IF($H98&lt;0,"Expired",IF($H98&lt;=7,"0-7 days",IF($H98&lt;=14,"8-14 days",IF($H98&lt;=30,"15-30 days","30+ days")))))</f>
        <v/>
      </c>
      <c r="J98" s="19" t="str">
        <f t="shared" si="6"/>
        <v/>
      </c>
      <c r="K98" s="19" t="str">
        <f t="shared" si="7"/>
        <v/>
      </c>
      <c r="L98" s="19" t="str">
        <f t="shared" si="8"/>
        <v/>
      </c>
      <c r="M98" s="19" t="str">
        <f ca="1">IF($B98="","",IF($F98="Yes","Completed",IF($H98&lt;0,"Expired",IF(TODAY()&gt;=$L98,"3rd Reminder",IF(TODAY()&gt;=$K98,"2nd Reminder",IF(TODAY()&gt;=$J98,"1st Reminder","Not Yet"))))))</f>
        <v/>
      </c>
      <c r="N98" s="19" t="str">
        <f>IF($B98="","",IF($F98="Yes","Completed",IF($H98&lt;0,"Expired",IF(OR($F98="Pending",$F98="No",$F98="On Hold",$F98="Escalate"),IF($M98="Not Yet","Scheduled","Action Required"),"Review"))))</f>
        <v/>
      </c>
      <c r="O98" s="19" t="str">
        <f>IF($B98="","",IF(AND($N98="Action Required",$F98&lt;&gt;"Yes"),"Yes","No"))</f>
        <v/>
      </c>
      <c r="P98" s="19"/>
      <c r="Q98" s="19" t="str">
        <f>IF($B98="","",IF($O98="Yes","Ready for email batch","No email needed"))</f>
        <v/>
      </c>
      <c r="R98" s="19" t="str">
        <f>IF($B98="","",IF($F98="Yes","Stop reminders",IF($N98="Expired","Review expired item",IF($O98="Yes","Send "&amp;$M98&amp;" email to "&amp;$E98,"Monitor"))))</f>
        <v/>
      </c>
    </row>
    <row r="99" spans="1:18" ht="12" customHeight="1">
      <c r="A99" s="19"/>
      <c r="B99" s="19"/>
      <c r="C99" s="19"/>
      <c r="D99" s="19"/>
      <c r="E99" s="19"/>
      <c r="F99" s="19"/>
      <c r="G99" s="19"/>
      <c r="H99" s="19" t="str">
        <f ca="1">IF($B99="","",$D99-TODAY())</f>
        <v/>
      </c>
      <c r="I99" s="19" t="str">
        <f>IF($B99="","",IF($H99&lt;0,"Expired",IF($H99&lt;=7,"0-7 days",IF($H99&lt;=14,"8-14 days",IF($H99&lt;=30,"15-30 days","30+ days")))))</f>
        <v/>
      </c>
      <c r="J99" s="19" t="str">
        <f t="shared" si="6"/>
        <v/>
      </c>
      <c r="K99" s="19" t="str">
        <f t="shared" si="7"/>
        <v/>
      </c>
      <c r="L99" s="19" t="str">
        <f t="shared" si="8"/>
        <v/>
      </c>
      <c r="M99" s="19" t="str">
        <f ca="1">IF($B99="","",IF($F99="Yes","Completed",IF($H99&lt;0,"Expired",IF(TODAY()&gt;=$L99,"3rd Reminder",IF(TODAY()&gt;=$K99,"2nd Reminder",IF(TODAY()&gt;=$J99,"1st Reminder","Not Yet"))))))</f>
        <v/>
      </c>
      <c r="N99" s="19" t="str">
        <f>IF($B99="","",IF($F99="Yes","Completed",IF($H99&lt;0,"Expired",IF(OR($F99="Pending",$F99="No",$F99="On Hold",$F99="Escalate"),IF($M99="Not Yet","Scheduled","Action Required"),"Review"))))</f>
        <v/>
      </c>
      <c r="O99" s="19" t="str">
        <f>IF($B99="","",IF(AND($N99="Action Required",$F99&lt;&gt;"Yes"),"Yes","No"))</f>
        <v/>
      </c>
      <c r="P99" s="19"/>
      <c r="Q99" s="19" t="str">
        <f>IF($B99="","",IF($O99="Yes","Ready for email batch","No email needed"))</f>
        <v/>
      </c>
      <c r="R99" s="19" t="str">
        <f>IF($B99="","",IF($F99="Yes","Stop reminders",IF($N99="Expired","Review expired item",IF($O99="Yes","Send "&amp;$M99&amp;" email to "&amp;$E99,"Monitor"))))</f>
        <v/>
      </c>
    </row>
    <row r="100" spans="1:18" ht="12" customHeight="1">
      <c r="A100" s="19"/>
      <c r="B100" s="19"/>
      <c r="C100" s="19"/>
      <c r="D100" s="19"/>
      <c r="E100" s="19"/>
      <c r="F100" s="19"/>
      <c r="G100" s="19"/>
      <c r="H100" s="19" t="str">
        <f ca="1">IF($B100="","",$D100-TODAY())</f>
        <v/>
      </c>
      <c r="I100" s="19" t="str">
        <f>IF($B100="","",IF($H100&lt;0,"Expired",IF($H100&lt;=7,"0-7 days",IF($H100&lt;=14,"8-14 days",IF($H100&lt;=30,"15-30 days","30+ days")))))</f>
        <v/>
      </c>
      <c r="J100" s="19" t="str">
        <f t="shared" si="6"/>
        <v/>
      </c>
      <c r="K100" s="19" t="str">
        <f t="shared" si="7"/>
        <v/>
      </c>
      <c r="L100" s="19" t="str">
        <f t="shared" si="8"/>
        <v/>
      </c>
      <c r="M100" s="19" t="str">
        <f ca="1">IF($B100="","",IF($F100="Yes","Completed",IF($H100&lt;0,"Expired",IF(TODAY()&gt;=$L100,"3rd Reminder",IF(TODAY()&gt;=$K100,"2nd Reminder",IF(TODAY()&gt;=$J100,"1st Reminder","Not Yet"))))))</f>
        <v/>
      </c>
      <c r="N100" s="19" t="str">
        <f>IF($B100="","",IF($F100="Yes","Completed",IF($H100&lt;0,"Expired",IF(OR($F100="Pending",$F100="No",$F100="On Hold",$F100="Escalate"),IF($M100="Not Yet","Scheduled","Action Required"),"Review"))))</f>
        <v/>
      </c>
      <c r="O100" s="19" t="str">
        <f>IF($B100="","",IF(AND($N100="Action Required",$F100&lt;&gt;"Yes"),"Yes","No"))</f>
        <v/>
      </c>
      <c r="P100" s="19"/>
      <c r="Q100" s="19" t="str">
        <f>IF($B100="","",IF($O100="Yes","Ready for email batch","No email needed"))</f>
        <v/>
      </c>
      <c r="R100" s="19" t="str">
        <f>IF($B100="","",IF($F100="Yes","Stop reminders",IF($N100="Expired","Review expired item",IF($O100="Yes","Send "&amp;$M100&amp;" email to "&amp;$E100,"Monitor"))))</f>
        <v/>
      </c>
    </row>
    <row r="101" spans="1:18" ht="12" customHeight="1">
      <c r="A101" s="19"/>
      <c r="B101" s="19"/>
      <c r="C101" s="19"/>
      <c r="D101" s="19"/>
      <c r="E101" s="19"/>
      <c r="F101" s="19"/>
      <c r="G101" s="19"/>
      <c r="H101" s="19" t="str">
        <f ca="1">IF($B101="","",$D101-TODAY())</f>
        <v/>
      </c>
      <c r="I101" s="19" t="str">
        <f>IF($B101="","",IF($H101&lt;0,"Expired",IF($H101&lt;=7,"0-7 days",IF($H101&lt;=14,"8-14 days",IF($H101&lt;=30,"15-30 days","30+ days")))))</f>
        <v/>
      </c>
      <c r="J101" s="19" t="str">
        <f t="shared" si="6"/>
        <v/>
      </c>
      <c r="K101" s="19" t="str">
        <f t="shared" si="7"/>
        <v/>
      </c>
      <c r="L101" s="19" t="str">
        <f t="shared" si="8"/>
        <v/>
      </c>
      <c r="M101" s="19" t="str">
        <f ca="1">IF($B101="","",IF($F101="Yes","Completed",IF($H101&lt;0,"Expired",IF(TODAY()&gt;=$L101,"3rd Reminder",IF(TODAY()&gt;=$K101,"2nd Reminder",IF(TODAY()&gt;=$J101,"1st Reminder","Not Yet"))))))</f>
        <v/>
      </c>
      <c r="N101" s="19" t="str">
        <f>IF($B101="","",IF($F101="Yes","Completed",IF($H101&lt;0,"Expired",IF(OR($F101="Pending",$F101="No",$F101="On Hold",$F101="Escalate"),IF($M101="Not Yet","Scheduled","Action Required"),"Review"))))</f>
        <v/>
      </c>
      <c r="O101" s="19" t="str">
        <f>IF($B101="","",IF(AND($N101="Action Required",$F101&lt;&gt;"Yes"),"Yes","No"))</f>
        <v/>
      </c>
      <c r="P101" s="19"/>
      <c r="Q101" s="19" t="str">
        <f>IF($B101="","",IF($O101="Yes","Ready for email batch","No email needed"))</f>
        <v/>
      </c>
      <c r="R101" s="19" t="str">
        <f>IF($B101="","",IF($F101="Yes","Stop reminders",IF($N101="Expired","Review expired item",IF($O101="Yes","Send "&amp;$M101&amp;" email to "&amp;$E101,"Monitor"))))</f>
        <v/>
      </c>
    </row>
    <row r="102" spans="1:18" ht="12" customHeight="1">
      <c r="A102" s="19"/>
      <c r="B102" s="19"/>
      <c r="C102" s="19"/>
      <c r="D102" s="19"/>
      <c r="E102" s="19"/>
      <c r="F102" s="19"/>
      <c r="G102" s="19"/>
      <c r="H102" s="19" t="str">
        <f ca="1">IF($B102="","",$D102-TODAY())</f>
        <v/>
      </c>
      <c r="I102" s="19" t="str">
        <f>IF($B102="","",IF($H102&lt;0,"Expired",IF($H102&lt;=7,"0-7 days",IF($H102&lt;=14,"8-14 days",IF($H102&lt;=30,"15-30 days","30+ days")))))</f>
        <v/>
      </c>
      <c r="J102" s="19" t="str">
        <f t="shared" si="6"/>
        <v/>
      </c>
      <c r="K102" s="19" t="str">
        <f t="shared" si="7"/>
        <v/>
      </c>
      <c r="L102" s="19" t="str">
        <f t="shared" si="8"/>
        <v/>
      </c>
      <c r="M102" s="19" t="str">
        <f ca="1">IF($B102="","",IF($F102="Yes","Completed",IF($H102&lt;0,"Expired",IF(TODAY()&gt;=$L102,"3rd Reminder",IF(TODAY()&gt;=$K102,"2nd Reminder",IF(TODAY()&gt;=$J102,"1st Reminder","Not Yet"))))))</f>
        <v/>
      </c>
      <c r="N102" s="19" t="str">
        <f>IF($B102="","",IF($F102="Yes","Completed",IF($H102&lt;0,"Expired",IF(OR($F102="Pending",$F102="No",$F102="On Hold",$F102="Escalate"),IF($M102="Not Yet","Scheduled","Action Required"),"Review"))))</f>
        <v/>
      </c>
      <c r="O102" s="19" t="str">
        <f>IF($B102="","",IF(AND($N102="Action Required",$F102&lt;&gt;"Yes"),"Yes","No"))</f>
        <v/>
      </c>
      <c r="P102" s="19"/>
      <c r="Q102" s="19" t="str">
        <f>IF($B102="","",IF($O102="Yes","Ready for email batch","No email needed"))</f>
        <v/>
      </c>
      <c r="R102" s="19" t="str">
        <f>IF($B102="","",IF($F102="Yes","Stop reminders",IF($N102="Expired","Review expired item",IF($O102="Yes","Send "&amp;$M102&amp;" email to "&amp;$E102,"Monitor"))))</f>
        <v/>
      </c>
    </row>
    <row r="103" spans="1:18" ht="12" customHeight="1">
      <c r="A103" s="19"/>
      <c r="B103" s="19"/>
      <c r="C103" s="19"/>
      <c r="D103" s="19"/>
      <c r="E103" s="19"/>
      <c r="F103" s="19"/>
      <c r="G103" s="19"/>
      <c r="H103" s="19" t="str">
        <f ca="1">IF($B103="","",$D103-TODAY())</f>
        <v/>
      </c>
      <c r="I103" s="19" t="str">
        <f>IF($B103="","",IF($H103&lt;0,"Expired",IF($H103&lt;=7,"0-7 days",IF($H103&lt;=14,"8-14 days",IF($H103&lt;=30,"15-30 days","30+ days")))))</f>
        <v/>
      </c>
      <c r="J103" s="19" t="str">
        <f t="shared" si="6"/>
        <v/>
      </c>
      <c r="K103" s="19" t="str">
        <f t="shared" si="7"/>
        <v/>
      </c>
      <c r="L103" s="19" t="str">
        <f t="shared" si="8"/>
        <v/>
      </c>
      <c r="M103" s="19" t="str">
        <f ca="1">IF($B103="","",IF($F103="Yes","Completed",IF($H103&lt;0,"Expired",IF(TODAY()&gt;=$L103,"3rd Reminder",IF(TODAY()&gt;=$K103,"2nd Reminder",IF(TODAY()&gt;=$J103,"1st Reminder","Not Yet"))))))</f>
        <v/>
      </c>
      <c r="N103" s="19" t="str">
        <f>IF($B103="","",IF($F103="Yes","Completed",IF($H103&lt;0,"Expired",IF(OR($F103="Pending",$F103="No",$F103="On Hold",$F103="Escalate"),IF($M103="Not Yet","Scheduled","Action Required"),"Review"))))</f>
        <v/>
      </c>
      <c r="O103" s="19" t="str">
        <f>IF($B103="","",IF(AND($N103="Action Required",$F103&lt;&gt;"Yes"),"Yes","No"))</f>
        <v/>
      </c>
      <c r="P103" s="19"/>
      <c r="Q103" s="19" t="str">
        <f>IF($B103="","",IF($O103="Yes","Ready for email batch","No email needed"))</f>
        <v/>
      </c>
      <c r="R103" s="19" t="str">
        <f>IF($B103="","",IF($F103="Yes","Stop reminders",IF($N103="Expired","Review expired item",IF($O103="Yes","Send "&amp;$M103&amp;" email to "&amp;$E103,"Monitor"))))</f>
        <v/>
      </c>
    </row>
    <row r="104" spans="1:18" ht="12" customHeight="1">
      <c r="A104" s="19"/>
      <c r="B104" s="19"/>
      <c r="C104" s="19"/>
      <c r="D104" s="19"/>
      <c r="E104" s="19"/>
      <c r="F104" s="19"/>
      <c r="G104" s="19"/>
      <c r="H104" s="19" t="str">
        <f ca="1">IF($B104="","",$D104-TODAY())</f>
        <v/>
      </c>
      <c r="I104" s="19" t="str">
        <f>IF($B104="","",IF($H104&lt;0,"Expired",IF($H104&lt;=7,"0-7 days",IF($H104&lt;=14,"8-14 days",IF($H104&lt;=30,"15-30 days","30+ days")))))</f>
        <v/>
      </c>
      <c r="J104" s="19" t="str">
        <f t="shared" si="6"/>
        <v/>
      </c>
      <c r="K104" s="19" t="str">
        <f t="shared" si="7"/>
        <v/>
      </c>
      <c r="L104" s="19" t="str">
        <f t="shared" si="8"/>
        <v/>
      </c>
      <c r="M104" s="19" t="str">
        <f ca="1">IF($B104="","",IF($F104="Yes","Completed",IF($H104&lt;0,"Expired",IF(TODAY()&gt;=$L104,"3rd Reminder",IF(TODAY()&gt;=$K104,"2nd Reminder",IF(TODAY()&gt;=$J104,"1st Reminder","Not Yet"))))))</f>
        <v/>
      </c>
      <c r="N104" s="19" t="str">
        <f>IF($B104="","",IF($F104="Yes","Completed",IF($H104&lt;0,"Expired",IF(OR($F104="Pending",$F104="No",$F104="On Hold",$F104="Escalate"),IF($M104="Not Yet","Scheduled","Action Required"),"Review"))))</f>
        <v/>
      </c>
      <c r="O104" s="19" t="str">
        <f>IF($B104="","",IF(AND($N104="Action Required",$F104&lt;&gt;"Yes"),"Yes","No"))</f>
        <v/>
      </c>
      <c r="P104" s="19"/>
      <c r="Q104" s="19" t="str">
        <f>IF($B104="","",IF($O104="Yes","Ready for email batch","No email needed"))</f>
        <v/>
      </c>
      <c r="R104" s="19" t="str">
        <f>IF($B104="","",IF($F104="Yes","Stop reminders",IF($N104="Expired","Review expired item",IF($O104="Yes","Send "&amp;$M104&amp;" email to "&amp;$E104,"Monitor"))))</f>
        <v/>
      </c>
    </row>
  </sheetData>
  <mergeCells count="5">
    <mergeCell ref="A1:R1"/>
    <mergeCell ref="A2:R2"/>
    <mergeCell ref="A3:G3"/>
    <mergeCell ref="H3:O3"/>
    <mergeCell ref="P3:R3"/>
  </mergeCells>
  <pageMargins left="0.7" right="0.7" top="0.75" bottom="0.75" header="0.3" footer="0.3"/>
  <ignoredErrors>
    <ignoredError sqref="C16:C39 C40:C65 C73:C104 C66:C72 D99:F104 D73:D98 E73:F98 E66:F72 E16 E17:F65 F16 D66:D72" listDataValidation="1"/>
  </ignoredErrors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Alert_Config!$I$4:$I$10</xm:f>
          </x14:formula1>
          <xm:sqref>C5:C104</xm:sqref>
        </x14:dataValidation>
        <x14:dataValidation type="list" xr:uid="{00000000-0002-0000-0100-000002000000}">
          <x14:formula1>
            <xm:f>Alert_Config!$F$4:$F$8</xm:f>
          </x14:formula1>
          <xm:sqref>F5:F104</xm:sqref>
        </x14:dataValidation>
        <x14:dataValidation type="list" xr:uid="{00000000-0002-0000-0100-000001000000}">
          <x14:formula1>
            <xm:f>Alert_Config!$J$4:$J$10</xm:f>
          </x14:formula1>
          <xm:sqref>E5:E104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activeCell="D10" sqref="D10"/>
    </sheetView>
  </sheetViews>
  <sheetFormatPr defaultRowHeight="14.4"/>
  <cols>
    <col min="1" max="1" width="11" style="12" bestFit="1" customWidth="1"/>
    <col min="2" max="2" width="15" style="12" bestFit="1" customWidth="1"/>
    <col min="3" max="3" width="24" style="12" customWidth="1"/>
    <col min="4" max="4" width="43.296875" style="12" bestFit="1" customWidth="1"/>
    <col min="5" max="5" width="3" style="12" customWidth="1"/>
    <col min="6" max="6" width="10.09765625" style="12" bestFit="1" customWidth="1"/>
    <col min="7" max="7" width="12.5" style="12" bestFit="1" customWidth="1"/>
    <col min="8" max="8" width="12.59765625" style="12" customWidth="1"/>
    <col min="9" max="9" width="10.59765625" style="12" bestFit="1" customWidth="1"/>
    <col min="10" max="10" width="11.796875" style="12" bestFit="1" customWidth="1"/>
    <col min="11" max="16384" width="8.796875" style="12"/>
  </cols>
  <sheetData>
    <row r="1" spans="1:10" ht="46.05" customHeight="1">
      <c r="A1" s="10" t="s">
        <v>97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2" customHeight="1"/>
    <row r="3" spans="1:10" ht="22.8" customHeight="1">
      <c r="A3" s="13" t="s">
        <v>98</v>
      </c>
      <c r="B3" s="13" t="s">
        <v>99</v>
      </c>
      <c r="C3" s="13" t="s">
        <v>100</v>
      </c>
      <c r="D3" s="13" t="s">
        <v>101</v>
      </c>
      <c r="F3" s="16" t="s">
        <v>102</v>
      </c>
      <c r="G3" s="16" t="s">
        <v>103</v>
      </c>
      <c r="H3" s="16" t="s">
        <v>106</v>
      </c>
      <c r="I3" s="16" t="s">
        <v>105</v>
      </c>
      <c r="J3" s="16" t="s">
        <v>104</v>
      </c>
    </row>
    <row r="4" spans="1:10" ht="22.8" customHeight="1">
      <c r="A4" s="14" t="s">
        <v>16</v>
      </c>
      <c r="B4" s="15">
        <v>30</v>
      </c>
      <c r="C4" s="15" t="s">
        <v>107</v>
      </c>
      <c r="D4" s="14" t="s">
        <v>108</v>
      </c>
      <c r="F4" s="17" t="s">
        <v>33</v>
      </c>
      <c r="G4" s="17" t="s">
        <v>35</v>
      </c>
      <c r="H4" s="17" t="s">
        <v>6</v>
      </c>
      <c r="I4" s="17" t="s">
        <v>59</v>
      </c>
      <c r="J4" s="17" t="s">
        <v>14</v>
      </c>
    </row>
    <row r="5" spans="1:10" ht="22.8" customHeight="1">
      <c r="A5" s="14" t="s">
        <v>19</v>
      </c>
      <c r="B5" s="15">
        <v>14</v>
      </c>
      <c r="C5" s="15" t="s">
        <v>109</v>
      </c>
      <c r="D5" s="14" t="s">
        <v>110</v>
      </c>
      <c r="F5" s="17" t="s">
        <v>34</v>
      </c>
      <c r="G5" s="17" t="s">
        <v>3</v>
      </c>
      <c r="H5" s="17" t="s">
        <v>15</v>
      </c>
      <c r="I5" s="17" t="s">
        <v>63</v>
      </c>
      <c r="J5" s="17" t="s">
        <v>17</v>
      </c>
    </row>
    <row r="6" spans="1:10" ht="22.8" customHeight="1">
      <c r="A6" s="14" t="s">
        <v>22</v>
      </c>
      <c r="B6" s="15">
        <v>7</v>
      </c>
      <c r="C6" s="15" t="s">
        <v>111</v>
      </c>
      <c r="D6" s="14" t="s">
        <v>112</v>
      </c>
      <c r="F6" s="17" t="s">
        <v>36</v>
      </c>
      <c r="G6" s="17" t="s">
        <v>5</v>
      </c>
      <c r="H6" s="17" t="s">
        <v>18</v>
      </c>
      <c r="I6" s="17" t="s">
        <v>67</v>
      </c>
      <c r="J6" s="17" t="s">
        <v>20</v>
      </c>
    </row>
    <row r="7" spans="1:10" ht="22.8" customHeight="1">
      <c r="A7" s="14" t="s">
        <v>13</v>
      </c>
      <c r="B7" s="15"/>
      <c r="C7" s="15" t="s">
        <v>113</v>
      </c>
      <c r="D7" s="14" t="s">
        <v>114</v>
      </c>
      <c r="F7" s="17" t="s">
        <v>37</v>
      </c>
      <c r="G7" s="17" t="s">
        <v>6</v>
      </c>
      <c r="H7" s="17" t="s">
        <v>21</v>
      </c>
      <c r="I7" s="17" t="s">
        <v>71</v>
      </c>
      <c r="J7" s="17" t="s">
        <v>23</v>
      </c>
    </row>
    <row r="8" spans="1:10" ht="22.8" customHeight="1">
      <c r="A8" s="14" t="s">
        <v>5</v>
      </c>
      <c r="B8" s="15"/>
      <c r="C8" s="15" t="s">
        <v>115</v>
      </c>
      <c r="D8" s="14" t="s">
        <v>116</v>
      </c>
      <c r="F8" s="17" t="s">
        <v>38</v>
      </c>
      <c r="G8" s="17" t="s">
        <v>39</v>
      </c>
      <c r="H8" s="17" t="s">
        <v>24</v>
      </c>
      <c r="I8" s="17" t="s">
        <v>87</v>
      </c>
      <c r="J8" s="17" t="s">
        <v>25</v>
      </c>
    </row>
    <row r="9" spans="1:10" ht="22.8" customHeight="1">
      <c r="F9" s="18"/>
      <c r="G9" s="18"/>
      <c r="I9" s="17" t="s">
        <v>91</v>
      </c>
      <c r="J9" s="17" t="s">
        <v>26</v>
      </c>
    </row>
    <row r="10" spans="1:10" ht="22.8" customHeight="1">
      <c r="F10" s="18"/>
      <c r="G10" s="18"/>
      <c r="I10" s="17" t="s">
        <v>95</v>
      </c>
      <c r="J10" s="17" t="s">
        <v>27</v>
      </c>
    </row>
    <row r="11" spans="1:10" ht="12" customHeight="1"/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Product_Tracker</vt:lpstr>
      <vt:lpstr>Alert_Config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Thach</dc:creator>
  <cp:lastModifiedBy>Bao Thach</cp:lastModifiedBy>
  <cp:lastPrinted>2026-06-07T12:42:36Z</cp:lastPrinted>
  <dcterms:modified xsi:type="dcterms:W3CDTF">2026-06-07T12:45:04Z</dcterms:modified>
</cp:coreProperties>
</file>